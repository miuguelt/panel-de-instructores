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autoCompressPictures="0" defaultThemeVersion="124226"/>
  <mc:AlternateContent xmlns:mc="http://schemas.openxmlformats.org/markup-compatibility/2006">
    <mc:Choice Requires="x15">
      <x15ac:absPath xmlns:x15ac="http://schemas.microsoft.com/office/spreadsheetml/2010/11/ac" url="G:\Otros ordenadores\NextCloud\Nextcloud2\2Programas\1. ADSO 3235642 Mayo 2027\"/>
    </mc:Choice>
  </mc:AlternateContent>
  <xr:revisionPtr revIDLastSave="0" documentId="13_ncr:1_{F4F767F1-B757-49CA-A42E-8F558990E73D}" xr6:coauthVersionLast="47" xr6:coauthVersionMax="47" xr10:uidLastSave="{00000000-0000-0000-0000-000000000000}"/>
  <bookViews>
    <workbookView xWindow="-98" yWindow="-98" windowWidth="19396" windowHeight="11475" tabRatio="610" xr2:uid="{00000000-000D-0000-FFFF-FFFF00000000}"/>
  </bookViews>
  <sheets>
    <sheet name="PLANEACION" sheetId="2" r:id="rId1"/>
    <sheet name="INSTRUCTIVO" sheetId="3" r:id="rId2"/>
    <sheet name="Hoja1"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1" i="4" l="1"/>
  <c r="H5" i="4"/>
  <c r="J144" i="2"/>
  <c r="I144" i="2"/>
  <c r="F5" i="4"/>
  <c r="K144" i="2" l="1"/>
  <c r="D5" i="4"/>
  <c r="A4" i="4" l="1"/>
  <c r="A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Miguel</author>
    <author>Tejedor</author>
    <author/>
    <author>tc={685BC17B-3F43-4457-8E44-E892DBF62E04}</author>
    <author>Miguel Ángel Tejedor Mendoza</author>
  </authors>
  <commentList>
    <comment ref="H21" authorId="0" shapeId="0" xr:uid="{3254B2BF-4EFA-4F04-ADDB-D2C3797E26AF}">
      <text>
        <r>
          <rPr>
            <b/>
            <sz val="9"/>
            <rFont val="Times New Roman"/>
            <family val="1"/>
          </rPr>
          <t>Miguel:</t>
        </r>
        <r>
          <rPr>
            <sz val="9"/>
            <rFont val="Times New Roman"/>
            <family val="1"/>
          </rPr>
          <t xml:space="preserve">
Guia 3
</t>
        </r>
      </text>
    </comment>
    <comment ref="H22" authorId="0" shapeId="0" xr:uid="{C4358FE4-0982-4DA5-9483-2C4DBA4651FB}">
      <text>
        <r>
          <rPr>
            <b/>
            <sz val="9"/>
            <rFont val="Times New Roman"/>
            <family val="1"/>
          </rPr>
          <t>Miguel:</t>
        </r>
        <r>
          <rPr>
            <sz val="9"/>
            <rFont val="Times New Roman"/>
            <family val="1"/>
          </rPr>
          <t xml:space="preserve">
Guia 5
</t>
        </r>
      </text>
    </comment>
    <comment ref="H23" authorId="1" shapeId="0" xr:uid="{8663822B-AA28-4365-BB2B-87845D3E0990}">
      <text>
        <r>
          <rPr>
            <b/>
            <sz val="9"/>
            <rFont val="Tahoma"/>
            <family val="2"/>
          </rPr>
          <t>Tejedor:</t>
        </r>
        <r>
          <rPr>
            <sz val="9"/>
            <rFont val="Tahoma"/>
            <family val="2"/>
          </rPr>
          <t xml:space="preserve">
Guia 5 IEEE
</t>
        </r>
      </text>
    </comment>
    <comment ref="C24" authorId="0" shapeId="0" xr:uid="{E9FFC631-F0B0-4CE5-8286-D0DAC91D7A68}">
      <text>
        <r>
          <rPr>
            <b/>
            <sz val="9"/>
            <color indexed="81"/>
            <rFont val="Tahoma"/>
            <family val="2"/>
          </rPr>
          <t>Miguel:</t>
        </r>
        <r>
          <rPr>
            <sz val="9"/>
            <color indexed="81"/>
            <rFont val="Tahoma"/>
            <family val="2"/>
          </rPr>
          <t xml:space="preserve">
Impartido por Freddy Ramirez
</t>
        </r>
      </text>
    </comment>
    <comment ref="K24" authorId="2" shapeId="0" xr:uid="{C701B7B1-8F14-4811-9199-1904F65CACB0}">
      <text>
        <r>
          <rPr>
            <sz val="11"/>
            <color rgb="FF000000"/>
            <rFont val="Calibri"/>
            <family val="2"/>
          </rPr>
          <t xml:space="preserve">De conocimiento, de proceso o de producto y definir
</t>
        </r>
      </text>
    </comment>
    <comment ref="K25" authorId="2" shapeId="0" xr:uid="{5B2BC3A2-70F6-48AB-B65D-6AE1464B59ED}">
      <text>
        <r>
          <rPr>
            <sz val="11"/>
            <color rgb="FF000000"/>
            <rFont val="Calibri"/>
            <family val="2"/>
          </rPr>
          <t xml:space="preserve">De conocimiento, de proceso o de producto y definir
</t>
        </r>
      </text>
    </comment>
    <comment ref="K26" authorId="2" shapeId="0" xr:uid="{740C5429-0394-45F7-BC8F-6CBF2BC0753D}">
      <text>
        <r>
          <rPr>
            <sz val="11"/>
            <color rgb="FF000000"/>
            <rFont val="Calibri"/>
            <family val="2"/>
          </rPr>
          <t xml:space="preserve">De conocimiento, de proceso o de producto y definir
</t>
        </r>
      </text>
    </comment>
    <comment ref="K27" authorId="2" shapeId="0" xr:uid="{E067E4C8-EEF6-4C40-BC7F-6DB98498ABC5}">
      <text>
        <r>
          <rPr>
            <sz val="11"/>
            <color rgb="FF000000"/>
            <rFont val="Calibri"/>
            <family val="2"/>
          </rPr>
          <t xml:space="preserve">De conocimiento, de proceso o de producto y definir
</t>
        </r>
      </text>
    </comment>
    <comment ref="H28" authorId="1" shapeId="0" xr:uid="{80AAD40F-04AC-4FB4-83D1-44D7483BE9BF}">
      <text>
        <r>
          <rPr>
            <b/>
            <sz val="9"/>
            <rFont val="Tahoma"/>
            <family val="2"/>
          </rPr>
          <t>Tejedor:</t>
        </r>
        <r>
          <rPr>
            <sz val="9"/>
            <rFont val="Tahoma"/>
            <family val="2"/>
          </rPr>
          <t xml:space="preserve">
Guia 20
</t>
        </r>
      </text>
    </comment>
    <comment ref="C30" authorId="0" shapeId="0" xr:uid="{77FB790D-68F7-4687-846A-1A0F6D2CFB92}">
      <text>
        <r>
          <rPr>
            <b/>
            <sz val="9"/>
            <rFont val="Tahoma"/>
            <family val="2"/>
          </rPr>
          <t>Miguel:</t>
        </r>
        <r>
          <rPr>
            <sz val="9"/>
            <rFont val="Tahoma"/>
            <family val="2"/>
          </rPr>
          <t xml:space="preserve">
Guía 6 Casos de Uso
</t>
        </r>
      </text>
    </comment>
    <comment ref="H30" authorId="0" shapeId="0" xr:uid="{92502489-9CDF-4F4C-988B-2EAAF6A6819A}">
      <text>
        <r>
          <rPr>
            <b/>
            <sz val="9"/>
            <rFont val="Tahoma"/>
            <family val="2"/>
          </rPr>
          <t>Miguel:</t>
        </r>
        <r>
          <rPr>
            <sz val="9"/>
            <rFont val="Tahoma"/>
            <family val="2"/>
          </rPr>
          <t xml:space="preserve">
GFPI-F-135 Guia 6 Casos de Uso
</t>
        </r>
      </text>
    </comment>
    <comment ref="H32" authorId="1" shapeId="0" xr:uid="{6786A251-E994-48D1-B3E2-CAEF720DE922}">
      <text>
        <r>
          <rPr>
            <b/>
            <sz val="9"/>
            <rFont val="Tahoma"/>
            <family val="2"/>
          </rPr>
          <t>Tejedor:</t>
        </r>
        <r>
          <rPr>
            <sz val="9"/>
            <rFont val="Tahoma"/>
            <family val="2"/>
          </rPr>
          <t xml:space="preserve">
Guía 19 Normalización, Actulizada 2023.</t>
        </r>
      </text>
    </comment>
    <comment ref="H33" authorId="1" shapeId="0" xr:uid="{745CD52C-821C-4B39-BCA1-30289F5402E5}">
      <text>
        <r>
          <rPr>
            <b/>
            <sz val="9"/>
            <rFont val="Tahoma"/>
            <family val="2"/>
          </rPr>
          <t>Tejedor:</t>
        </r>
        <r>
          <rPr>
            <sz val="9"/>
            <rFont val="Tahoma"/>
            <family val="2"/>
          </rPr>
          <t xml:space="preserve">
Guía 21</t>
        </r>
      </text>
    </comment>
    <comment ref="H34" authorId="2" shapeId="0" xr:uid="{E9A97BB2-63A8-4761-A5B9-E20C6A888853}">
      <text>
        <r>
          <rPr>
            <sz val="11"/>
            <color rgb="FF000000"/>
            <rFont val="Calibri"/>
            <family val="2"/>
          </rPr>
          <t xml:space="preserve">Cada R.A. Debe tener como mínimo 4 actividades de aprendizaje para la guía. Esta descripción de actividad de aprendizaje debe recoger en una sola las 4 actividades.
</t>
        </r>
      </text>
    </comment>
    <comment ref="M35" authorId="2" shapeId="0" xr:uid="{645C0E11-D205-4720-B993-5B2F8451274F}">
      <text>
        <r>
          <rPr>
            <sz val="11"/>
            <color rgb="FF000000"/>
            <rFont val="Calibri"/>
            <family val="2"/>
          </rPr>
          <t xml:space="preserve">Ambiente, taller, aula, laboratorio, canchas, etc.
</t>
        </r>
      </text>
    </comment>
    <comment ref="D45" authorId="3" shapeId="0" xr:uid="{685BC17B-3F43-4457-8E44-E892DBF62E04}">
      <text>
        <t>[Comentario encadenado]
Su versión de Excel le permite leer este comentario encadenado; sin embargo, las ediciones que se apliquen se quitarán si el archivo se abre en una versión más reciente de Excel. Más información: https://go.microsoft.com/fwlink/?linkid=870924
Comentario:
    Guia 27 y 28</t>
      </text>
    </comment>
    <comment ref="M51" authorId="2" shapeId="0" xr:uid="{FF6F6EAB-D2C4-46A3-87A9-E022FDEECE75}">
      <text>
        <r>
          <rPr>
            <sz val="11"/>
            <color rgb="FF000000"/>
            <rFont val="Calibri"/>
            <family val="2"/>
          </rPr>
          <t xml:space="preserve">Ambiente, taller, aula, laboratorio, canchas, etc.
</t>
        </r>
      </text>
    </comment>
    <comment ref="M52" authorId="2" shapeId="0" xr:uid="{07E2C4F6-BBF3-478A-89F0-A555ABB81EF6}">
      <text>
        <r>
          <rPr>
            <sz val="11"/>
            <color rgb="FF000000"/>
            <rFont val="Calibri"/>
            <family val="2"/>
          </rPr>
          <t xml:space="preserve">Ambiente, taller, aula, laboratorio, canchas, etc.
</t>
        </r>
      </text>
    </comment>
    <comment ref="L53" authorId="2" shapeId="0" xr:uid="{B101CE40-F962-4FE9-BF0F-27ECC6FB83AD}">
      <text>
        <r>
          <rPr>
            <sz val="11"/>
            <color rgb="FF000000"/>
            <rFont val="Calibri"/>
            <family val="2"/>
          </rPr>
          <t xml:space="preserve">Ambiente, taller, aula, laboratorio, canchas, etc.
</t>
        </r>
      </text>
    </comment>
    <comment ref="M53" authorId="2" shapeId="0" xr:uid="{8821D567-1DD9-482D-A5F8-4DF607C53B83}">
      <text>
        <r>
          <rPr>
            <sz val="11"/>
            <color rgb="FF000000"/>
            <rFont val="Calibri"/>
            <family val="2"/>
          </rPr>
          <t xml:space="preserve">Ambiente, taller, aula, laboratorio, canchas, etc.
</t>
        </r>
      </text>
    </comment>
    <comment ref="L54" authorId="2" shapeId="0" xr:uid="{7361EE50-C546-44E7-A51B-DAE1F4EAE140}">
      <text>
        <r>
          <rPr>
            <sz val="11"/>
            <color rgb="FF000000"/>
            <rFont val="Calibri"/>
            <family val="2"/>
          </rPr>
          <t xml:space="preserve">Ambiente, taller, aula, laboratorio, canchas, etc.
</t>
        </r>
      </text>
    </comment>
    <comment ref="M54" authorId="2" shapeId="0" xr:uid="{16B48F76-307D-4410-8E4F-EF43F9A6B6D6}">
      <text>
        <r>
          <rPr>
            <sz val="11"/>
            <color rgb="FF000000"/>
            <rFont val="Calibri"/>
            <family val="2"/>
          </rPr>
          <t xml:space="preserve">Ambiente, taller, aula, laboratorio, canchas, etc.
</t>
        </r>
      </text>
    </comment>
    <comment ref="H55" authorId="1" shapeId="0" xr:uid="{1F7919B5-4C69-4B7F-A77D-0B8AF8A4441F}">
      <text>
        <r>
          <rPr>
            <b/>
            <sz val="9"/>
            <rFont val="Tahoma"/>
            <family val="2"/>
          </rPr>
          <t>Tejedor:</t>
        </r>
        <r>
          <rPr>
            <sz val="9"/>
            <rFont val="Tahoma"/>
            <family val="2"/>
          </rPr>
          <t xml:space="preserve">
Guía 18 DDL</t>
        </r>
      </text>
    </comment>
    <comment ref="H56" authorId="1" shapeId="0" xr:uid="{DB8FBF9B-EBA4-4FC6-BBC9-7AE7DC4E77E5}">
      <text>
        <r>
          <rPr>
            <b/>
            <sz val="9"/>
            <rFont val="Tahoma"/>
            <family val="2"/>
          </rPr>
          <t>Tejedor:</t>
        </r>
        <r>
          <rPr>
            <sz val="9"/>
            <rFont val="Tahoma"/>
            <family val="2"/>
          </rPr>
          <t xml:space="preserve">
Guía 17 DDL
</t>
        </r>
      </text>
    </comment>
    <comment ref="H57" authorId="4" shapeId="0" xr:uid="{70FD3E1D-9376-4B01-89AE-15DC195DEA78}">
      <text>
        <r>
          <rPr>
            <b/>
            <sz val="9"/>
            <rFont val="Tahoma"/>
            <family val="2"/>
          </rPr>
          <t>Miguel Ángel Tejedor Mendoza:</t>
        </r>
        <r>
          <rPr>
            <sz val="9"/>
            <rFont val="Tahoma"/>
            <family val="2"/>
          </rPr>
          <t xml:space="preserve">
Guía 22
</t>
        </r>
      </text>
    </comment>
    <comment ref="M73" authorId="2" shapeId="0" xr:uid="{9CC008ED-BF47-4E6B-8B46-7C97C5419D30}">
      <text>
        <r>
          <rPr>
            <sz val="11"/>
            <color rgb="FF000000"/>
            <rFont val="Calibri"/>
            <family val="2"/>
          </rPr>
          <t xml:space="preserve">Ambiente, taller, aula, laboratorio, canchas, etc.
</t>
        </r>
      </text>
    </comment>
    <comment ref="M74" authorId="2" shapeId="0" xr:uid="{400FD022-9BBA-480A-BF3F-9353856753B1}">
      <text>
        <r>
          <rPr>
            <sz val="11"/>
            <color rgb="FF000000"/>
            <rFont val="Calibri"/>
            <family val="2"/>
          </rPr>
          <t xml:space="preserve">Ambiente, taller, aula, laboratorio, canchas, etc.
</t>
        </r>
      </text>
    </comment>
    <comment ref="M75" authorId="2" shapeId="0" xr:uid="{8D697A55-1AB2-45DF-9A65-D35FCD009A7F}">
      <text>
        <r>
          <rPr>
            <sz val="11"/>
            <color rgb="FF000000"/>
            <rFont val="Calibri"/>
            <family val="2"/>
          </rPr>
          <t xml:space="preserve">Ambiente, taller, aula, laboratorio, canchas, etc.
</t>
        </r>
      </text>
    </comment>
    <comment ref="M81" authorId="2" shapeId="0" xr:uid="{D645C5D8-B926-4C5E-A6D3-ADD6B7F50F60}">
      <text>
        <r>
          <rPr>
            <sz val="11"/>
            <color rgb="FF000000"/>
            <rFont val="Calibri"/>
            <family val="2"/>
          </rPr>
          <t xml:space="preserve">Ambiente, taller, aula, laboratorio, canchas, etc.
</t>
        </r>
      </text>
    </comment>
    <comment ref="M82" authorId="2" shapeId="0" xr:uid="{BFF6A630-8040-4349-A549-ACA5E62B06E7}">
      <text>
        <r>
          <rPr>
            <sz val="11"/>
            <color rgb="FF000000"/>
            <rFont val="Calibri"/>
            <family val="2"/>
          </rPr>
          <t xml:space="preserve">Ambiente, taller, aula, laboratorio, canchas, etc.
</t>
        </r>
      </text>
    </comment>
    <comment ref="M83" authorId="2" shapeId="0" xr:uid="{280087A0-859F-4856-942B-206D1AB4721A}">
      <text>
        <r>
          <rPr>
            <sz val="11"/>
            <color rgb="FF000000"/>
            <rFont val="Calibri"/>
            <family val="2"/>
          </rPr>
          <t xml:space="preserve">Ambiente, taller, aula, laboratorio, canchas, etc.
</t>
        </r>
      </text>
    </comment>
    <comment ref="M84" authorId="2" shapeId="0" xr:uid="{A3638209-8C0D-4E51-8528-2A41BEAA175C}">
      <text>
        <r>
          <rPr>
            <sz val="11"/>
            <color rgb="FF000000"/>
            <rFont val="Calibri"/>
            <family val="2"/>
          </rPr>
          <t xml:space="preserve">Ambiente, taller, aula, laboratorio, canchas, etc.
</t>
        </r>
      </text>
    </comment>
    <comment ref="H92" authorId="0" shapeId="0" xr:uid="{5E0B0135-FD98-48AD-9FB1-3F9D9DA0153A}">
      <text>
        <r>
          <rPr>
            <b/>
            <sz val="9"/>
            <rFont val="Tahoma"/>
            <family val="2"/>
          </rPr>
          <t>Miguel:</t>
        </r>
        <r>
          <rPr>
            <sz val="9"/>
            <rFont val="Tahoma"/>
            <family val="2"/>
          </rPr>
          <t xml:space="preserve">
Guìa 28</t>
        </r>
      </text>
    </comment>
    <comment ref="M138" authorId="2" shapeId="0" xr:uid="{80F3FADD-9BC9-4745-8E09-9913B77D39A2}">
      <text>
        <r>
          <rPr>
            <sz val="11"/>
            <color rgb="FF000000"/>
            <rFont val="Calibri"/>
            <family val="2"/>
          </rPr>
          <t xml:space="preserve">Ambiente, taller, aula, laboratorio, canchas, etc.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Olga Milena Gámez</author>
  </authors>
  <commentList>
    <comment ref="A17" authorId="0" shapeId="0" xr:uid="{FEF6889D-95E6-41DD-B695-073A3BD89E85}">
      <text>
        <r>
          <rPr>
            <b/>
            <sz val="9"/>
            <color indexed="81"/>
            <rFont val="Calibri"/>
            <family val="2"/>
          </rPr>
          <t xml:space="preserve">SENA:  Copie la actividad del proyecto que aparece en el proyecto formativo
</t>
        </r>
      </text>
    </comment>
    <comment ref="A19" authorId="0" shapeId="0" xr:uid="{FE19F413-EBBD-4942-9536-645EE47CE3A1}">
      <text>
        <r>
          <rPr>
            <b/>
            <sz val="9"/>
            <color indexed="81"/>
            <rFont val="Calibri"/>
            <family val="2"/>
          </rPr>
          <t>Olga Milena Gámez:</t>
        </r>
        <r>
          <rPr>
            <sz val="9"/>
            <color indexed="81"/>
            <rFont val="Calibri"/>
            <family val="2"/>
          </rPr>
          <t xml:space="preserve">
</t>
        </r>
      </text>
    </comment>
  </commentList>
</comments>
</file>

<file path=xl/sharedStrings.xml><?xml version="1.0" encoding="utf-8"?>
<sst xmlns="http://schemas.openxmlformats.org/spreadsheetml/2006/main" count="977" uniqueCount="693">
  <si>
    <t>Versión: 04</t>
  </si>
  <si>
    <t>Código: 
GFPI-F-134</t>
  </si>
  <si>
    <t>Proceso Gestión de Formación Profesional Integral</t>
  </si>
  <si>
    <t xml:space="preserve"> Formato Planeación Pedagógica </t>
  </si>
  <si>
    <t>Fecha de Elaboración</t>
  </si>
  <si>
    <t>Denominación del Programa de Formación</t>
  </si>
  <si>
    <t>Tecnólogo en Analisis y Desarrollo de Software</t>
  </si>
  <si>
    <t>Modalidad de Formación</t>
  </si>
  <si>
    <t>Presencial</t>
  </si>
  <si>
    <t>Código y versión del Programa de Formación</t>
  </si>
  <si>
    <t>228118 v 1.0</t>
  </si>
  <si>
    <t>Nombre del Proyecto Formativo  ( Diligencie esta casilla únicamente si es un programa de formación  Titulada)</t>
  </si>
  <si>
    <t>Construcción de software a la medida para el control de acceso de personal, elementos de almacén y flujo de equipos externos para el centro de gestión agroempresarial del oriente.</t>
  </si>
  <si>
    <t>Código del Proyecto ( Diligencie esta casilla únicamente si es un programa de formación  Titulada)</t>
  </si>
  <si>
    <t>Nombre Completo de los integrantes del   Equipo de Gestión Curricular  que realizó la planeación pedagógica</t>
  </si>
  <si>
    <t>Miguel Ángel Tejedor Mendoza</t>
  </si>
  <si>
    <t>Regional Santander,  Centro de Gestión Agroempresarial del Oriente</t>
  </si>
  <si>
    <t xml:space="preserve">Fredy Edison Ramirez Morales </t>
  </si>
  <si>
    <t>Nombres y Apellidos</t>
  </si>
  <si>
    <t>Regional y Centro de formación</t>
  </si>
  <si>
    <t>FASE DE PROYECTO FORMATIVO (Si el programa es de titulada)</t>
  </si>
  <si>
    <t>ACTIVIDAD DE PROYECTO FORMATIVO  ( si el programa es titulada)</t>
  </si>
  <si>
    <t>COMPETENCIA</t>
  </si>
  <si>
    <t>RESULTADOS DE APRENDIZAJE</t>
  </si>
  <si>
    <t>SABERES DE CONCEPTOS Y PRINCIPIOS</t>
  </si>
  <si>
    <t>SABERES DE PROCESO</t>
  </si>
  <si>
    <t>CRITERIOS DE EVALUACIÓN</t>
  </si>
  <si>
    <t>ACTIVIDADES DE APRENDIZAJE A DESARROLLAR</t>
  </si>
  <si>
    <t>DURACIÓN ACTIVIDAD DE APRENDIZAJE (HORAS)</t>
  </si>
  <si>
    <t>DESCRIPCIÓN DE LA EVIDENCIA DE APRENDIZAJE</t>
  </si>
  <si>
    <t>ESTRATEGIAS DIDÁCTICAS ACTIVAS</t>
  </si>
  <si>
    <t>AMBIENTES  DE 
APRENDIZAJE TIPIFICADOS</t>
  </si>
  <si>
    <t>OBSERVACIONES</t>
  </si>
  <si>
    <t>HORAS TRABAJO DIRECTO</t>
  </si>
  <si>
    <t>HORAS TRABAJO INDEPENDIENTE</t>
  </si>
  <si>
    <t xml:space="preserve">AMBIENTE  </t>
  </si>
  <si>
    <t>MATERIALES DE FORMACIÓN</t>
  </si>
  <si>
    <t>INSTRUCTORES RESPONSABLES</t>
  </si>
  <si>
    <t>ANÁLISIS</t>
  </si>
  <si>
    <t>Inducción</t>
  </si>
  <si>
    <t>Identificar la dinámica organizacional del SENA y  el rol de la Formación Profesional Integral de acuerdo con su proyecto de vida y el desarrollo profesional.</t>
  </si>
  <si>
    <t>01- Reconoce la identidad institucional y los procedimientos
administrativos y formativos.
02-  Identifica los componentes y
estructura de la formacion profesional integral según el programa de formación y su perfil como aprendiz del SENA
03-  Incorpora a su proyecto de
vida las oprotunidades ofrecidas
por el SENA.</t>
  </si>
  <si>
    <t>Identificar la historia, misión, visión, normas de convivenvia, oportunidades y beneficios que les ofrece la Institución</t>
  </si>
  <si>
    <r>
      <rPr>
        <b/>
        <sz val="10"/>
        <rFont val="Calibri"/>
        <family val="2"/>
        <scheme val="minor"/>
      </rPr>
      <t>Evidencias de Conocimiento:</t>
    </r>
    <r>
      <rPr>
        <sz val="10"/>
        <rFont val="Calibri"/>
        <family val="2"/>
        <scheme val="minor"/>
      </rPr>
      <t xml:space="preserve">
 Conceptualiza y reconoce los principios  misión, visión y compromiso ético del SENA (Cuestionario)
</t>
    </r>
    <r>
      <rPr>
        <b/>
        <sz val="10"/>
        <rFont val="Calibri"/>
        <family val="2"/>
        <scheme val="minor"/>
      </rPr>
      <t xml:space="preserve">Evidencias de  Desempeño: </t>
    </r>
    <r>
      <rPr>
        <sz val="10"/>
        <rFont val="Calibri"/>
        <family val="2"/>
        <scheme val="minor"/>
      </rPr>
      <t xml:space="preserve">
Ejecuta actividades individuales y grupales que le permitan apropiar los conocimientos  y relacionarlos al entornode su especialidad. (Lista de chequeo).
</t>
    </r>
    <r>
      <rPr>
        <b/>
        <sz val="10"/>
        <rFont val="Calibri"/>
        <family val="2"/>
        <scheme val="minor"/>
      </rPr>
      <t xml:space="preserve">
Evidencias de Producto: </t>
    </r>
    <r>
      <rPr>
        <sz val="10"/>
        <rFont val="Calibri"/>
        <family val="2"/>
        <scheme val="minor"/>
      </rPr>
      <t xml:space="preserve">
Elaboración y proyección a través de un triptico donde contemple: su compromiso como aprendfiz, su proyección laboral y las oportunidades que el Sena le ofrece. (Lista de chequeo).</t>
    </r>
  </si>
  <si>
    <t>Charlas de sensibilización, actividades lúdicas, talleres de inmersión y adaptación a la formación profesional integral.</t>
  </si>
  <si>
    <t>Ambiente de formación con: Computadores 
usb
Cable HDMI 
Pantallas 
Acceso a internet</t>
  </si>
  <si>
    <t>Papel Bond
Lapices
Proyector
Equipo de computo</t>
  </si>
  <si>
    <t>Bienestar al aprendiz</t>
  </si>
  <si>
    <t>Guia Inducion</t>
  </si>
  <si>
    <t>Especificación de requisitos del software</t>
  </si>
  <si>
    <t>Caracterizar los procesos de la organización de acuerdo con el software a construir.</t>
  </si>
  <si>
    <t xml:space="preserve">identifica y describe, en un sistema de información dado, los datos de entrada, procesamiento de los datos e información generada, según necesidades del cliente.
</t>
  </si>
  <si>
    <t xml:space="preserve">
Identificar conceptos básicos de Teoría General de Sistemas y Enfoque Sistémico.</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</si>
  <si>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Exposición sobre los diferentes conceptos de TGS aplicados a casa practivo
</t>
    </r>
    <r>
      <rPr>
        <b/>
        <sz val="10"/>
        <rFont val="Calibri"/>
        <family val="2"/>
        <scheme val="minor"/>
      </rPr>
      <t>Evidencias de Producto:</t>
    </r>
    <r>
      <rPr>
        <sz val="10"/>
        <rFont val="Calibri"/>
        <family val="2"/>
        <scheme val="minor"/>
      </rPr>
      <t xml:space="preserve">
Taller </t>
    </r>
  </si>
  <si>
    <t>Mapas Mentales
Estudio de Casos
Portafolio</t>
  </si>
  <si>
    <t>Marcadores</t>
  </si>
  <si>
    <t>1 Instructor técnico</t>
  </si>
  <si>
    <t>TGS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</si>
  <si>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sistema de información a construir. 
•	Reconoce las fronteras y el contexto del sistema de acuerdo con el alcance del proyecto.</t>
  </si>
  <si>
    <t>Elaborar Diagramas de procesos a partir de la caracterización de los mismos usando una técnica de notación</t>
  </si>
  <si>
    <r>
      <rPr>
        <b/>
        <sz val="10"/>
        <rFont val="Calibri"/>
        <family val="2"/>
        <scheme val="minor"/>
      </rPr>
      <t>Evidencias de Conocimiento:</t>
    </r>
    <r>
      <rPr>
        <sz val="10"/>
        <rFont val="Calibri"/>
        <family val="2"/>
        <scheme val="minor"/>
      </rPr>
      <t xml:space="preserve">
Prueba de conocimiento para identificar los conceptos de gestión por procesos.
</t>
    </r>
    <r>
      <rPr>
        <b/>
        <sz val="10"/>
        <rFont val="Calibri"/>
        <family val="2"/>
        <scheme val="minor"/>
      </rPr>
      <t>Evidencias de Desempeño</t>
    </r>
    <r>
      <rPr>
        <sz val="10"/>
        <rFont val="Calibri"/>
        <family val="2"/>
        <scheme val="minor"/>
      </rPr>
      <t xml:space="preserve">
Sustentación del trabajo.
</t>
    </r>
    <r>
      <rPr>
        <b/>
        <sz val="10"/>
        <rFont val="Calibri"/>
        <family val="2"/>
        <scheme val="minor"/>
      </rPr>
      <t xml:space="preserve">
Evidencias de Producto:</t>
    </r>
    <r>
      <rPr>
        <sz val="10"/>
        <rFont val="Calibri"/>
        <family val="2"/>
        <scheme val="minor"/>
      </rPr>
      <t xml:space="preserve">
Taller resuelto aplicando los conceptos de gestión de procesos.
Descripción de procesos asociados al  software a cosntruir
</t>
    </r>
  </si>
  <si>
    <t>Aprendizaje Colaborativo 
Aprendizaje basado en proyectos
Método de casos
Demostración, investigación.</t>
  </si>
  <si>
    <t>Ambiente de formación con: Computadores 
usb
Cable HDMI 
Pantallas 
Acceso a internet
Software para diagramar procesos</t>
  </si>
  <si>
    <t>Diagramas de Procesos</t>
  </si>
  <si>
    <t>Recolectar información del software a construir de acuerdo con las necesidades del cliente.</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</si>
  <si>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</si>
  <si>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Elaborar instrumentos de recolección de datos, de acuerdo a técnicas e instrumentos que permitan el procesamiento de la información.</t>
  </si>
  <si>
    <t>Evidencias de Conocimiento:
Prueba de conocimiento para identificar los conceptos de gestión por procesos.
Evidencias de Desempeño
Sustentación del trabajo.
Evidencias de Producto:
Taller resuelto aplicando los conceptos de técnicas de levantamiento de información.
Instrumentos de recolección de información para el proyecto formativo</t>
  </si>
  <si>
    <t>Recoleccion de información</t>
  </si>
  <si>
    <t>Establecer los requisitos del software de acuerdo con la información recolectada.</t>
  </si>
  <si>
    <t>•	Genera la documentación de la especificación de requisitos de acuerdo con normatividad y estándares relacionados.
•	Presenta el informe de requerimientos de acuerdo con estándares establecidos.</t>
  </si>
  <si>
    <t>Determinar los requisitos funcionales y no funcionales del  software de acuerdo con los requerimientos del cliente.</t>
  </si>
  <si>
    <r>
      <rPr>
        <b/>
        <sz val="10"/>
        <rFont val="Calibri"/>
        <family val="2"/>
        <scheme val="minor"/>
      </rPr>
      <t>Evidencias de Conocimiento:</t>
    </r>
    <r>
      <rPr>
        <sz val="10"/>
        <rFont val="Calibri"/>
        <family val="2"/>
        <scheme val="minor"/>
      </rPr>
      <t xml:space="preserve">
Prueba de conocimiento sobre requisitos del sistema.
</t>
    </r>
    <r>
      <rPr>
        <b/>
        <sz val="10"/>
        <rFont val="Calibri"/>
        <family val="2"/>
        <scheme val="minor"/>
      </rPr>
      <t>Evidencias de Desempeño:</t>
    </r>
    <r>
      <rPr>
        <sz val="10"/>
        <rFont val="Calibri"/>
        <family val="2"/>
        <scheme val="minor"/>
      </rPr>
      <t xml:space="preserve">
Sustentación del trabajo.
</t>
    </r>
    <r>
      <rPr>
        <b/>
        <sz val="10"/>
        <rFont val="Calibri"/>
        <family val="2"/>
        <scheme val="minor"/>
      </rPr>
      <t xml:space="preserve">
Evidencias de Producto:</t>
    </r>
    <r>
      <rPr>
        <sz val="10"/>
        <rFont val="Calibri"/>
        <family val="2"/>
        <scheme val="minor"/>
      </rPr>
      <t xml:space="preserve">
Documento con la especificación de Requisitos
Especificación de Requisitos para el Software a cosntruir
</t>
    </r>
  </si>
  <si>
    <t>Guia 5 Requisitos Funcionales no Funcionales</t>
  </si>
  <si>
    <t>Validar el informe de requisitos de acuerdo con las necesidades del cliente.</t>
  </si>
  <si>
    <t>•	Evalúa el informe de requisitos con el cliente según las necesidades establecidas.
•	Realiza cambios a la documentación de especificación de requisitos a partir de los hallazgos encontrados.</t>
  </si>
  <si>
    <t>Aplicar técnicas para validar los requisitos del software.</t>
  </si>
  <si>
    <r>
      <rPr>
        <b/>
        <sz val="10"/>
        <rFont val="Calibri"/>
        <family val="2"/>
        <scheme val="minor"/>
      </rPr>
      <t>Evidencias de Conocimiento:</t>
    </r>
    <r>
      <rPr>
        <sz val="10"/>
        <rFont val="Calibri"/>
        <family val="2"/>
        <scheme val="minor"/>
      </rPr>
      <t xml:space="preserve">
Evaluación de conocimientos, verificación, control de cambios.
</t>
    </r>
    <r>
      <rPr>
        <b/>
        <sz val="10"/>
        <rFont val="Calibri"/>
        <family val="2"/>
        <scheme val="minor"/>
      </rPr>
      <t>Evidencias de Desempeño:</t>
    </r>
    <r>
      <rPr>
        <sz val="10"/>
        <rFont val="Calibri"/>
        <family val="2"/>
        <scheme val="minor"/>
      </rPr>
      <t xml:space="preserve">
Participa en las diferentes actividades pertinentemente y asertivamente.
</t>
    </r>
    <r>
      <rPr>
        <b/>
        <sz val="10"/>
        <rFont val="Calibri"/>
        <family val="2"/>
        <scheme val="minor"/>
      </rPr>
      <t>Evidencias de Producto:</t>
    </r>
    <r>
      <rPr>
        <sz val="10"/>
        <rFont val="Calibri"/>
        <family val="2"/>
        <scheme val="minor"/>
      </rPr>
      <t xml:space="preserve">
Informe de evaluación de los requisistos, Listas de chequeo del proceso. Recomendaciones.</t>
    </r>
  </si>
  <si>
    <t>1 Instructor Técnico</t>
  </si>
  <si>
    <t>Utilizar herramientas informáticas de acuerdo con necesidades de manejo de información - TIC</t>
  </si>
  <si>
    <t>Alistar herramientas de tecnologías de la información y la comunicación (TIC), de acuerdo con las necesidades de procesamiento de información y comunicación.</t>
  </si>
  <si>
    <t>Reconoce características de equipos TIC, tipos de software y servicios de internet, de acuerdo con la tecnología a utilizar.
 Elige herramientas TIC, de acuerdo con las necesidades de información y comunicación.</t>
  </si>
  <si>
    <t xml:space="preserve">Identificar la función de los elementos del hardware y del software del computador y otros dispositivos tecnológicos que se aplican en diferentes contextos.                                
</t>
  </si>
  <si>
    <r>
      <rPr>
        <b/>
        <sz val="10"/>
        <rFont val="Calibri"/>
        <family val="2"/>
      </rPr>
      <t xml:space="preserve">DE PRODUCTO: </t>
    </r>
    <r>
      <rPr>
        <sz val="10"/>
        <rFont val="Calibri"/>
        <family val="2"/>
      </rPr>
      <t xml:space="preserve">
Documento o tabla en excel (caja de herramientas) con la lista de palabras trabajadas en la actividad  y su descripción.
</t>
    </r>
    <r>
      <rPr>
        <b/>
        <sz val="10"/>
        <rFont val="Calibri"/>
        <family val="2"/>
      </rPr>
      <t xml:space="preserve">Instrumento de evaluación: </t>
    </r>
    <r>
      <rPr>
        <sz val="10"/>
        <rFont val="Calibri"/>
        <family val="2"/>
      </rPr>
      <t>Lista de chequeo</t>
    </r>
  </si>
  <si>
    <t>Mapa Mental. 
Caja de herramientas</t>
  </si>
  <si>
    <t>Sala de computo</t>
  </si>
  <si>
    <t>Pantalla, computador, tablero, marcador borrable y borrador, papel tamaño carta.</t>
  </si>
  <si>
    <t>Instructor informática</t>
  </si>
  <si>
    <t>Guia 1 TICs</t>
  </si>
  <si>
    <t>Aplicar funcionalidades de herramientas y servicios TIC, de acuerdo con manuales de uso, procedimientos establecidos y buenas prácticas.</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</si>
  <si>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</si>
  <si>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 xml:space="preserve">Aplicar herramientas ofimáticas como procesador de palabras, hoja de cáculo, diseño de presentaciones e internet, de acuerdo con los requerimientos de las actividades del proyecto formativo.				
</t>
  </si>
  <si>
    <r>
      <rPr>
        <b/>
        <sz val="10"/>
        <rFont val="Calibri"/>
        <family val="2"/>
      </rPr>
      <t>DE PRODUCTO:</t>
    </r>
    <r>
      <rPr>
        <sz val="10"/>
        <rFont val="Calibri"/>
        <family val="2"/>
      </rPr>
      <t xml:space="preserve"> 
Blog que contenga una entrada con el resultado del taller de cada uno de los programas vistos.
</t>
    </r>
    <r>
      <rPr>
        <b/>
        <sz val="10"/>
        <rFont val="Calibri"/>
        <family val="2"/>
      </rPr>
      <t xml:space="preserve">Instrumento de evaluación: </t>
    </r>
    <r>
      <rPr>
        <sz val="10"/>
        <rFont val="Calibri"/>
        <family val="2"/>
      </rPr>
      <t>Rúbrica</t>
    </r>
  </si>
  <si>
    <t>Taller aplicado</t>
  </si>
  <si>
    <t>Evaluar los resultados, de acuerdo con los requerimientos.</t>
  </si>
  <si>
    <t>Prueba el funcionamiento de los equipos, productos o servicios obtenidos con el uso de herramientas TIC, de acuerdo con los requerimientos realizados.</t>
  </si>
  <si>
    <t xml:space="preserve">Verificar que el producto tenga elementos multimedia, enlaces a las actividades de apropiación elaboradas y un buen diseño que permita su navegabilidad.				
</t>
  </si>
  <si>
    <r>
      <rPr>
        <b/>
        <sz val="10"/>
        <rFont val="Calibri"/>
        <family val="2"/>
      </rPr>
      <t xml:space="preserve">DE PRODUCTO: </t>
    </r>
    <r>
      <rPr>
        <sz val="10"/>
        <rFont val="Calibri"/>
        <family val="2"/>
      </rPr>
      <t xml:space="preserve">
Blog con elementos multimedia y enlace  los talleres trabajados en actividades de apropiación.
</t>
    </r>
    <r>
      <rPr>
        <b/>
        <sz val="10"/>
        <rFont val="Calibri"/>
        <family val="2"/>
      </rPr>
      <t>Instrumento de evaluación:</t>
    </r>
    <r>
      <rPr>
        <sz val="10"/>
        <rFont val="Calibri"/>
        <family val="2"/>
      </rPr>
      <t xml:space="preserve"> Rúbrica</t>
    </r>
  </si>
  <si>
    <t>Carrusel</t>
  </si>
  <si>
    <t>Optimizar los resultados, de acuerdo con la verificación.</t>
  </si>
  <si>
    <t>Aplica buenas prácticas de uso de la tecnología TIC, de acuerdo con los estándares y recomendaciones.</t>
  </si>
  <si>
    <t xml:space="preserve">Implementar el uso de la aplicación tecnológica adecuada de acuerdo con la actividad de proyecto.				
</t>
  </si>
  <si>
    <r>
      <rPr>
        <b/>
        <sz val="10"/>
        <rFont val="Calibri"/>
        <family val="2"/>
      </rPr>
      <t>DE PRODUCTO</t>
    </r>
    <r>
      <rPr>
        <sz val="10"/>
        <rFont val="Calibri"/>
        <family val="2"/>
      </rPr>
      <t xml:space="preserve">: 
Documento con el caso y la solución al problema, justificando el porqué de la herramienta tecnológica seleccionada para dar dicha solución.
</t>
    </r>
    <r>
      <rPr>
        <b/>
        <sz val="10"/>
        <rFont val="Calibri"/>
        <family val="2"/>
      </rPr>
      <t>Instrumento de evaluación</t>
    </r>
    <r>
      <rPr>
        <sz val="10"/>
        <rFont val="Calibri"/>
        <family val="2"/>
      </rPr>
      <t>: Rúbrica</t>
    </r>
  </si>
  <si>
    <t>Aprendizaje basado en problemas</t>
  </si>
  <si>
    <t>Análisis de la especificación de requisitos del software.</t>
  </si>
  <si>
    <t>Planear actividades de análisis de acuerdo con la metodología seleccionada.</t>
  </si>
  <si>
    <t>•	Identifica metodologías de desarrollo de software de acuerdo con las características del software a desarrollar.
•	Establece las actividades de análisis de acuerdo con la metodología seleccionada.</t>
  </si>
  <si>
    <t>Estructurar el plan de actividades de análisis partir de las caracteristicas del proyecto y el modelo de desarrollo  seleccionado</t>
  </si>
  <si>
    <r>
      <rPr>
        <b/>
        <sz val="10"/>
        <rFont val="Calibri"/>
        <family val="2"/>
        <scheme val="minor"/>
      </rPr>
      <t>Evidencias de Conocimiento:</t>
    </r>
    <r>
      <rPr>
        <sz val="10"/>
        <rFont val="Calibri"/>
        <family val="2"/>
        <scheme val="minor"/>
      </rPr>
      <t xml:space="preserve">
Evaluación de conocimientos sobre metodologias de desarrollo de software
</t>
    </r>
    <r>
      <rPr>
        <b/>
        <sz val="10"/>
        <rFont val="Calibri"/>
        <family val="2"/>
        <scheme val="minor"/>
      </rPr>
      <t>Evidencias de Desempeño:</t>
    </r>
    <r>
      <rPr>
        <sz val="10"/>
        <rFont val="Calibri"/>
        <family val="2"/>
        <scheme val="minor"/>
      </rPr>
      <t xml:space="preserve">
Participa en las diferentes actividades pertinentemente y asertivamente.
</t>
    </r>
    <r>
      <rPr>
        <b/>
        <sz val="10"/>
        <rFont val="Calibri"/>
        <family val="2"/>
        <scheme val="minor"/>
      </rPr>
      <t>Evidencias de Producto:</t>
    </r>
    <r>
      <rPr>
        <sz val="10"/>
        <rFont val="Calibri"/>
        <family val="2"/>
        <scheme val="minor"/>
      </rPr>
      <t xml:space="preserve">
Plan de trabajo con la especificación de tareas, responsables del equipo de proyecto y tiempos para el análisis del sistema. </t>
    </r>
  </si>
  <si>
    <t>1 Instructor  Técnico</t>
  </si>
  <si>
    <t>Metodologías de Desarrollo de Software</t>
  </si>
  <si>
    <t>Interactuar en lengua inglesa de forma oral y escrita dentro de contextos sociales y laborales según los criterios establecidos por el Marco Común Europeo de Referencia para las Lenguas - INGLÉS</t>
  </si>
  <si>
    <t>Comprender información sobre situaciones cotidianas y laborales actuales y futuras a través de interacciones sociales de forma oral y escrita.</t>
  </si>
  <si>
    <t xml:space="preserve"> Reconoce la  idea  general y detalles específicos en  textos  escritos de la vida cotidiana articulados con    claridad
 Comprende información concreta relativa  a  temas cotidianos y laborales en  textos orales y escritos  </t>
  </si>
  <si>
    <t>Hacer una exposición de un material escrito seleccionado: noticia, cuento, artículo, poema, etc.</t>
  </si>
  <si>
    <r>
      <rPr>
        <b/>
        <sz val="10"/>
        <rFont val="Calibri"/>
        <family val="2"/>
      </rPr>
      <t>De conocimiento:</t>
    </r>
    <r>
      <rPr>
        <sz val="10"/>
        <rFont val="Calibri"/>
        <family val="2"/>
      </rPr>
      <t xml:space="preserve"> Escribe textos sencillos en orden cronológico sobre acontecimientos pasados                                                                                                                                                       </t>
    </r>
    <r>
      <rPr>
        <b/>
        <sz val="10"/>
        <rFont val="Calibri"/>
        <family val="2"/>
      </rPr>
      <t>De desempeño:</t>
    </r>
    <r>
      <rPr>
        <sz val="10"/>
        <rFont val="Calibri"/>
        <family val="2"/>
      </rPr>
      <t xml:space="preserve"> Hace una presentación en inglés acerca del contenido de un texto determinado, cuento, poema, etc.                                                                                                                                                                                                                                 </t>
    </r>
    <r>
      <rPr>
        <b/>
        <sz val="10"/>
        <rFont val="Calibri"/>
        <family val="2"/>
      </rPr>
      <t>De producto:</t>
    </r>
    <r>
      <rPr>
        <sz val="10"/>
        <rFont val="Calibri"/>
        <family val="2"/>
      </rPr>
      <t xml:space="preserve"> texto con resumen o reporte del material seleccionado</t>
    </r>
  </si>
  <si>
    <t>Formulación de preguntas
Taller
Presentaciones</t>
  </si>
  <si>
    <t>Aula</t>
  </si>
  <si>
    <t>Material impreso: cuentos, noticias, artículos, poemas, etc., en inglés  -  Para la presentación: Cartulinas  -  Marcadores  -  Recortes  -  Imágenes   - Audios</t>
  </si>
  <si>
    <t>Instructor Inglés</t>
  </si>
  <si>
    <t>Modelar las funciones del software de acuerdo con  el informe de requisitos.</t>
  </si>
  <si>
    <t>Interpreta el informe de requisitos para modelar las funciones del software.
Elabora diagramas de casos de uso de acuerdo con los estándares actuales mediante Lenguaje Unificado de Modelado (UML).
Genera plantillas extendidas de casos de uso expresando la intención de las acciones a desarrollar.</t>
  </si>
  <si>
    <t>Elaborar diagrama de casos de uso  y documentación de casos de  uso  de acuerdo con el refinamiento de requisitos.</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</si>
  <si>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Taller aplicado a caso de estudio
Diagrama de casos de uso del proyecto y sus formatos extendidos.</t>
    </r>
  </si>
  <si>
    <t>Casos de uso</t>
  </si>
  <si>
    <t>Representa el negocio en término de clases abstractas generando un modelo de dominio consistente.
Realiza diagramas de actividades exponiendo detalles de los casos de uso.
Documenta las actividades de análisis a través de un informe.</t>
  </si>
  <si>
    <t xml:space="preserve">Representar el contexto del negocio a través del diagrama de dominio y diagramas de actividades </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</si>
  <si>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Taller aplicado a caso de estudio
Modelo de Dominio del proyecto y sus formatos extendidos.
Diagramas de actividades del rpoeycto </t>
    </r>
  </si>
  <si>
    <t>Guia 11 MER</t>
  </si>
  <si>
    <t>Elabora el modelo entidad relación de acuerdo con los requisitos del software.</t>
  </si>
  <si>
    <t>Elaborar el modelo conceptual de la base de datos</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</si>
  <si>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Taller aplicado a caso de estudio
Modelo conceptual de los datos para el proyecto</t>
    </r>
  </si>
  <si>
    <t>Guia 12</t>
  </si>
  <si>
    <t>Verificar los modelos realizados en la fase de análisis de acuerdo con lo establecido en el  informe de requisitos.</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</si>
  <si>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</si>
  <si>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Elaborar prototipo del sistema como estrategia para validar los modelos de análisis desarrollados</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</si>
  <si>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Infome  de análisis de resultados de validación.
Listas de chequeo para validación de artefactis
Prototipo inicial del proyecto para validación de requisitos funcionales
</t>
    </r>
  </si>
  <si>
    <t>Guia 13 diagramas de clases, Introducción a objetos</t>
  </si>
  <si>
    <t>Desarrollar procesos de comunicación eficaces y efectivos, teniendo en cuenta situaciones de orden social, personal y productivo - COMUNICACIÓN ORAL Y ESCRITA</t>
  </si>
  <si>
    <t>Analizar los componentes de la comunicación según sus características, intencionalidad y contexto.</t>
  </si>
  <si>
    <t xml:space="preserve">Reconocer la importancia, naturaleza y características de la comunicación humana.                                           Interpretar mensajes y reconstruir el discurso con sus propias palabras manteniendo el
sentido.                                                                                                                                                                       </t>
  </si>
  <si>
    <t>Reconocer la importancia de la comunicación en las diferentes dimensiones del ser humanos y los contextos labora, social y personal.</t>
  </si>
  <si>
    <r>
      <rPr>
        <b/>
        <sz val="10"/>
        <rFont val="Calibri"/>
        <family val="2"/>
      </rPr>
      <t xml:space="preserve">DE PRODUCTO: </t>
    </r>
    <r>
      <rPr>
        <sz val="10"/>
        <rFont val="Calibri"/>
        <family val="2"/>
      </rPr>
      <t xml:space="preserve">
Matriz de análisis de la comunicación asertiva.</t>
    </r>
  </si>
  <si>
    <t xml:space="preserve">Juegos
Presentaciones
Taller
</t>
  </si>
  <si>
    <t>Ambiente de formación dotado de mesas de trabajo, tablero acrílico, televisor o video beam.</t>
  </si>
  <si>
    <t>Papel periódico, papel bond tamaño carta, resma, post-it Notas adhesivas por paquete, Lápiz # 2, plumones colores surtidos X 12, borrador de nata, tajalápiz metálico manual con depósito, Marcador tipo sharpie, borrador para tablero, marcadores permanentes colores variados, lápices de colores x 12.</t>
  </si>
  <si>
    <t>Instructor Comunicación</t>
  </si>
  <si>
    <t>Intercambiar opiniones sobre situaciones cotidianas y laborales actuales, pasadas y futuras en contextos sociales orales y escritos.</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</si>
  <si>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</si>
  <si>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Presentar una entrevista de trabajo en parejas.</t>
  </si>
  <si>
    <r>
      <rPr>
        <b/>
        <sz val="10"/>
        <rFont val="Calibri"/>
        <family val="2"/>
      </rPr>
      <t>De conocimiento:</t>
    </r>
    <r>
      <rPr>
        <sz val="10"/>
        <rFont val="Calibri"/>
        <family val="2"/>
      </rPr>
      <t xml:space="preserve"> Hablar de planes  futuros  para  su  trabajo  y  su  carrera                                                                                                                                                                                        </t>
    </r>
    <r>
      <rPr>
        <b/>
        <sz val="10"/>
        <rFont val="Calibri"/>
        <family val="2"/>
      </rPr>
      <t xml:space="preserve">De desempeño: </t>
    </r>
    <r>
      <rPr>
        <sz val="10"/>
        <rFont val="Calibri"/>
        <family val="2"/>
      </rPr>
      <t xml:space="preserve">En parejas, los aprendices van a presentar una entrevista de trabajo para su ambiente laboral específico                                                                                                                                                                                                                                                                                       </t>
    </r>
    <r>
      <rPr>
        <b/>
        <sz val="10"/>
        <rFont val="Calibri"/>
        <family val="2"/>
      </rPr>
      <t>De producto:</t>
    </r>
    <r>
      <rPr>
        <sz val="10"/>
        <rFont val="Calibri"/>
        <family val="2"/>
      </rPr>
      <t xml:space="preserve"> Expresar  las  labores  específicas  que  desarrolla  en  su  lugar  de  trabajo, haciendo    uso  de  vocabulario  adecuado.</t>
    </r>
  </si>
  <si>
    <t>Taller
Formulación de preguntas
Entrevista</t>
  </si>
  <si>
    <t xml:space="preserve">Guía de aprendizaje. Materiales para recrear el contexto particular donde se va a desarrollar el diálogo: cartulinas, marcadores, pinturas, recortes de revistas o periódicos. Implementos para recrear contextos laborales cotidianos: escritorios, accesorios de decoración, y todos los que sean necesarios. </t>
  </si>
  <si>
    <t>Elaboración de la propuesta técnica para la solución de software.</t>
  </si>
  <si>
    <t xml:space="preserve">•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
</t>
  </si>
  <si>
    <t>Determinar las especificaciones técnicas  a partir del diagnóstico de necesidades informáticas</t>
  </si>
  <si>
    <r>
      <rPr>
        <b/>
        <sz val="10"/>
        <rFont val="Calibri"/>
        <family val="2"/>
        <scheme val="minor"/>
      </rPr>
      <t>Evidencias de Conocimiento:</t>
    </r>
    <r>
      <rPr>
        <sz val="10"/>
        <rFont val="Calibri"/>
        <family val="2"/>
        <scheme val="minor"/>
      </rPr>
      <t xml:space="preserve">
Cuestionario publicado en LMS sobre licencias de software, referentes técnicos, derechos de autor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Especificación del software y su tipo de licenciamiento
Determinación de referentes técnicos de hardware y software
Estimación inicial de condiciones económicas</t>
    </r>
  </si>
  <si>
    <t>Guia 7 Propuesta ténica ó SCRUM</t>
  </si>
  <si>
    <t>Elaborar propuesta técnica del software de acuerdo con las especificaciones técnicas definidas</t>
  </si>
  <si>
    <t xml:space="preserve">• Elabora análisis comparativo de proveedores considerando costos, cantidad y especificaciones técnicas definidas.
</t>
  </si>
  <si>
    <t>Realizar el análisis de proveedores a partir de las fichas técnicas</t>
  </si>
  <si>
    <r>
      <rPr>
        <b/>
        <sz val="10"/>
        <rFont val="Calibri"/>
        <family val="2"/>
        <scheme val="minor"/>
      </rPr>
      <t>Evidencias de Conocimiento:</t>
    </r>
    <r>
      <rPr>
        <sz val="10"/>
        <rFont val="Calibri"/>
        <family val="2"/>
        <scheme val="minor"/>
      </rPr>
      <t xml:space="preserve">
Cuestionario publicado en LMS sobre fichas técnicas, términos de referencia. evaluación de proveedores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Ficha técnica de los productos requeridos
Términos de referencia para el contrato
Lista de chequeo para  evaluación de proveedores</t>
    </r>
  </si>
  <si>
    <t xml:space="preserve">• Estima costos de software y hardware de acuerdo con las características del negocio.
• Documenta la propuesta técnica según las especificaciones de la solución de software.
</t>
  </si>
  <si>
    <t>Elaborar la propuesta técnica y financiera a partir de los referentes establecidos</t>
  </si>
  <si>
    <r>
      <rPr>
        <b/>
        <sz val="10"/>
        <rFont val="Calibri"/>
        <family val="2"/>
        <scheme val="minor"/>
      </rPr>
      <t>Evidencias de Conocimiento:</t>
    </r>
    <r>
      <rPr>
        <sz val="10"/>
        <rFont val="Calibri"/>
        <family val="2"/>
        <scheme val="minor"/>
      </rPr>
      <t xml:space="preserve">
Mapa conceptual sobre elaboración de presupuestos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Estimación de costos y presupuestos
Propuesta técnica y económica para la implementación del proyecto</t>
    </r>
  </si>
  <si>
    <t>Validar las condiciones de la propuesta técnica del software de acuerdo con los intereses de las partes.</t>
  </si>
  <si>
    <t xml:space="preserve">• Realiza la presentación de la propuesta según propósitos de la negociación.
• Documenta las sugerencias del cliente según la necesidad del negocio.
• Ajusta los parámetros técnicos de acuerdo con los resultados de la negociación. </t>
  </si>
  <si>
    <t>Presentar la propuesta  técnica y económica de acuerdo con las condiciones del contrato a desarrollar</t>
  </si>
  <si>
    <r>
      <rPr>
        <b/>
        <sz val="10"/>
        <rFont val="Calibri"/>
        <family val="2"/>
        <scheme val="minor"/>
      </rPr>
      <t>Evidencias de Conocimiento:</t>
    </r>
    <r>
      <rPr>
        <sz val="10"/>
        <rFont val="Calibri"/>
        <family val="2"/>
        <scheme val="minor"/>
      </rPr>
      <t xml:space="preserve">
Cuestionario sobre negociación de tecnológia, acuerdos de niveles del serviciom tipos de contratos
</t>
    </r>
    <r>
      <rPr>
        <b/>
        <sz val="10"/>
        <rFont val="Calibri"/>
        <family val="2"/>
        <scheme val="minor"/>
      </rPr>
      <t>Evidencias de Desempeño:</t>
    </r>
    <r>
      <rPr>
        <sz val="10"/>
        <rFont val="Calibri"/>
        <family val="2"/>
        <scheme val="minor"/>
      </rPr>
      <t xml:space="preserve">
Participa en las actividades propuestas con pertinencia y asertividad
Sustentación de su propuesta ante clientes
</t>
    </r>
    <r>
      <rPr>
        <b/>
        <sz val="10"/>
        <rFont val="Calibri"/>
        <family val="2"/>
        <scheme val="minor"/>
      </rPr>
      <t>Evidencias de Producto</t>
    </r>
    <r>
      <rPr>
        <sz val="10"/>
        <rFont val="Calibri"/>
        <family val="2"/>
        <scheme val="minor"/>
      </rPr>
      <t>:
Propuesta técnica y económica para la implementación del proyecto, ajustada .
Carta de Negociación que incluye  cláusulas y condiciones del contrato</t>
    </r>
  </si>
  <si>
    <t>Argumentar en forma oral y escrita atendiendo las exigencias y particularidades de las diversas situaciones comunicativas mediante los distintos sistemas de representación.</t>
  </si>
  <si>
    <t>Interpreta mensajes y reconstruye el discurso con sus propias palabras manteniendo el
sentido.                                                                                                                                                                        Aplica técnicas para la comunicación verbal y no verbal teniendo en cuenta características
comunicativas</t>
  </si>
  <si>
    <t>Comprender la comunicación como un proceso en el que participan diferentes elementos relacionados entre sí y lo aplica a los diferentes contextos y dismensiones humanas de manera pertinente, efectiva y asertiva.</t>
  </si>
  <si>
    <r>
      <rPr>
        <b/>
        <sz val="10"/>
        <rFont val="Calibri"/>
        <family val="2"/>
      </rPr>
      <t>DE PRODUCTO:</t>
    </r>
    <r>
      <rPr>
        <sz val="10"/>
        <rFont val="Calibri"/>
        <family val="2"/>
      </rPr>
      <t xml:space="preserve"> 
Estrategia de comunicación aplicada al proyecto formativo, en la que analiza el rol de los diferentes elementos y su alcance.</t>
    </r>
  </si>
  <si>
    <t>Taller aplicado
Presentaciones</t>
  </si>
  <si>
    <t>Relacionar  los  procesos  comunicativos  teniendo  en  cuenta  criterios  de  lógica  y racionalidad.</t>
  </si>
  <si>
    <t>Emplear estructuras textuales en la comunicación oral y escrita.                                                                                                                                                                                                                             Usa el léxico con precisión y propiedad en los procesos de comunicación relacionados con el área de desempeño laboral.                                                                                                                                            Emplea en la elaboración de textos las estructuras textuales básicas</t>
  </si>
  <si>
    <t>Apropiar los principios y fundamentos de la macroestructura textual, según la intención comunicativa.</t>
  </si>
  <si>
    <r>
      <rPr>
        <b/>
        <sz val="10"/>
        <rFont val="Calibri"/>
        <family val="2"/>
      </rPr>
      <t xml:space="preserve">DE PRODUCTO: </t>
    </r>
    <r>
      <rPr>
        <sz val="10"/>
        <rFont val="Calibri"/>
        <family val="2"/>
      </rPr>
      <t xml:space="preserve">
Textos narrativos, expositivos y argumentativos según parámetros e intencionalidad. </t>
    </r>
  </si>
  <si>
    <t>Taller</t>
  </si>
  <si>
    <t>Establecer procesos  de  enriquecimiento  lexical  y acciones de mejoramiento  en  el desarrollo de procesos comunicativos según requerimientos del contexto.</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</si>
  <si>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</si>
  <si>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Apropiar los elementos que intervienen en la microestructura textual.</t>
  </si>
  <si>
    <r>
      <rPr>
        <b/>
        <sz val="10"/>
        <rFont val="Calibri"/>
        <family val="2"/>
      </rPr>
      <t xml:space="preserve">DE PRODUCTO: </t>
    </r>
    <r>
      <rPr>
        <sz val="10"/>
        <rFont val="Calibri"/>
        <family val="2"/>
      </rPr>
      <t xml:space="preserve">
Documentos técnicos</t>
    </r>
  </si>
  <si>
    <t>PLANEACIÓN</t>
  </si>
  <si>
    <t xml:space="preserve">	02 MODELAR LAS FUNCIONES DEL SOFTWARE DE ACUERDO CON EL INFORME DE REQUISITOS.</t>
  </si>
  <si>
    <t xml:space="preserve">Soluciona problemas de lógica proposicional incorporando habilidades propias en el oficio como programador.
• 
</t>
  </si>
  <si>
    <t>Realizar actividades para el desarrollo del pensamiento algorítmico</t>
  </si>
  <si>
    <r>
      <rPr>
        <b/>
        <sz val="11"/>
        <rFont val="Arial"/>
        <family val="2"/>
      </rPr>
      <t>Evidencias de Conocimiento:</t>
    </r>
    <r>
      <rPr>
        <sz val="11"/>
        <rFont val="Arial"/>
        <family val="2"/>
      </rPr>
      <t xml:space="preserve">
Evaluación de conocimientos sobre entidades primitivas, jerarquía de operaciones, operadores  lógicos, fundamentos de algoritmia
Evaluación de conocimientos sobre conceptos de POO
Evaluación de  conocimineto sobre lenguaje Phyton
</t>
    </r>
    <r>
      <rPr>
        <b/>
        <sz val="11"/>
        <rFont val="Arial"/>
        <family val="2"/>
      </rPr>
      <t>Evidencias de Desempeño:</t>
    </r>
    <r>
      <rPr>
        <sz val="11"/>
        <rFont val="Arial"/>
        <family val="2"/>
      </rPr>
      <t xml:space="preserve">
Participa en las diferentes actividades pertinentemente y asertivamente.
</t>
    </r>
    <r>
      <rPr>
        <b/>
        <sz val="11"/>
        <rFont val="Arial"/>
        <family val="2"/>
      </rPr>
      <t>Evidencias de Producto:</t>
    </r>
    <r>
      <rPr>
        <sz val="11"/>
        <rFont val="Arial"/>
        <family val="2"/>
      </rPr>
      <t xml:space="preserve">
Desarrollo de algoritmos usando herramientas gráficas, de pseudocódigo y con lenguaje Phyton</t>
    </r>
  </si>
  <si>
    <t xml:space="preserve">Aprendizaje Colaborativo 
Método de casos
Demostración, </t>
  </si>
  <si>
    <t>Programacion básica, python</t>
  </si>
  <si>
    <t>Crea soluciones a problemas mediante algoritmos que incluyen estructuras secuenciales, condicionales y cíclicas
• Crea funciones y procedimientos en la solución de algoritmos para ordenar y simplificar los códigos.</t>
  </si>
  <si>
    <t>Desarrollar soluciones algorítmicas a través de estructuras de control</t>
  </si>
  <si>
    <t xml:space="preserve">Aprendizaje Colaborativo 
Método de casos
Demostración </t>
  </si>
  <si>
    <t>Programacion estructurada, python</t>
  </si>
  <si>
    <t>03 DESARROLLAR PROCESOS LÓGICOS A TRAVÉS DE LA IMPLEMENTACIÓN DE ALGORITMOS.</t>
  </si>
  <si>
    <t xml:space="preserve">Manipula arreglos en diferentes dimensiones para dar solución a problemas reales.
Maneja instrucciones de entrada y salida en archivos externos.
</t>
  </si>
  <si>
    <t>Solucionar planteamientos aplicando el concepto de Arreglos (Vectores y Matrices)</t>
  </si>
  <si>
    <t>Array en java y diccionarios en python</t>
  </si>
  <si>
    <t>Construye algoritmos aplicando conceptos de la Programación Orientada a Objetos</t>
  </si>
  <si>
    <t>Solucionar planteamientos aplicando el concepto de Programación Orientado a Objetos (POO)</t>
  </si>
  <si>
    <t>Programacion Orientada a Objetos, java guia 27 y 28</t>
  </si>
  <si>
    <t>Aplicación de conocimientos de las ciencias naturales de acuerdo con situaciones del contexto productivo y social - FÍSICA</t>
  </si>
  <si>
    <t>Solucionar problemas asociados con el sector productivos con base en los principios y leyes de la física.</t>
  </si>
  <si>
    <t>Interpreta cambios físicos de los cuerpos  de acuerdo con teorías, leyes y principios.</t>
  </si>
  <si>
    <t xml:space="preserve">Utilizar magnitudes físicas escalares que se encuentran en: cinemática, termodinámica, electromagnetismo, mecánica de fluidos, óptica, acústica y mecánica cuántica. </t>
  </si>
  <si>
    <r>
      <rPr>
        <b/>
        <sz val="10"/>
        <rFont val="Calibri"/>
        <family val="2"/>
      </rPr>
      <t xml:space="preserve">De conocimiento: </t>
    </r>
    <r>
      <rPr>
        <sz val="10"/>
        <rFont val="Calibri"/>
        <family val="2"/>
      </rPr>
      <t xml:space="preserve">Elabora informe donde aplica las mediciones y calculos fisicos.
</t>
    </r>
    <r>
      <rPr>
        <b/>
        <sz val="10"/>
        <rFont val="Calibri"/>
        <family val="2"/>
      </rPr>
      <t>De proceso:</t>
    </r>
    <r>
      <rPr>
        <sz val="10"/>
        <rFont val="Calibri"/>
        <family val="2"/>
      </rPr>
      <t xml:space="preserve"> Selecciona una pieza mecánica o electrónica, donde realiza la mediciones y calculos.
</t>
    </r>
    <r>
      <rPr>
        <b/>
        <sz val="10"/>
        <rFont val="Calibri"/>
        <family val="2"/>
      </rPr>
      <t>De producto:</t>
    </r>
    <r>
      <rPr>
        <sz val="10"/>
        <rFont val="Calibri"/>
        <family val="2"/>
      </rPr>
      <t xml:space="preserve"> Elaboración y exposición en formato power point de los resultados obtenidos.</t>
    </r>
  </si>
  <si>
    <t>Aprendizaje basado en problemas
Taller</t>
  </si>
  <si>
    <t>Papel, lápiz, multimetro digital. Piezas electrónicas
Computador, office hoja de excel, matlab.
Proyector, pantalla LCD</t>
  </si>
  <si>
    <t>Instructor de física</t>
  </si>
  <si>
    <t>Verificar las transformaciones físicas de la materia utilizando herramientas tecnológicas.</t>
  </si>
  <si>
    <t>Describe las manifestaciones de la energía según el contexto social y productivo. 
 Explica el comportamiento de fenómenos físicos según el contexto productivo.</t>
  </si>
  <si>
    <t>Describir las fases de observación, formulación de hipótesis de trabajo, experimentación e identificación de leyes físicas en cualquiera de las siguientes áreas (movimiento de los cuerpos, cambios fisicos en la materia): cinemática, termodinámica, electromagnetismo, mecánica de fluidos, óptica, acústica y mecánica cuántica.</t>
  </si>
  <si>
    <r>
      <rPr>
        <b/>
        <sz val="10"/>
        <rFont val="Calibri"/>
        <family val="2"/>
      </rPr>
      <t>De conocimiento:</t>
    </r>
    <r>
      <rPr>
        <sz val="10"/>
        <rFont val="Calibri"/>
        <family val="2"/>
      </rPr>
      <t xml:space="preserve"> Elabora informe donde aplica las mediciones y cálculos fisicos sobre la transformación de la energía en un motor eléctrico.
</t>
    </r>
    <r>
      <rPr>
        <b/>
        <sz val="10"/>
        <rFont val="Calibri"/>
        <family val="2"/>
      </rPr>
      <t>De proceso:</t>
    </r>
    <r>
      <rPr>
        <sz val="10"/>
        <rFont val="Calibri"/>
        <family val="2"/>
      </rPr>
      <t xml:space="preserve"> Selecciona un motor eléctrico, donde realiza la mediciones y cálculos.
</t>
    </r>
    <r>
      <rPr>
        <b/>
        <sz val="10"/>
        <rFont val="Calibri"/>
        <family val="2"/>
      </rPr>
      <t>De producto:</t>
    </r>
    <r>
      <rPr>
        <sz val="10"/>
        <rFont val="Calibri"/>
        <family val="2"/>
      </rPr>
      <t xml:space="preserve"> Elaboración y exposición en formato power point de los resultados obtenidos.</t>
    </r>
  </si>
  <si>
    <t>Papel, lapiz, multimetro digital. Motores paso a paso. Bateria 9v, cables.
Computador, office hoja de excel
Proyector, pantalla LCD</t>
  </si>
  <si>
    <t>Identificar los principios y leyes de la física en la solución de problemas de acuerdo al contexto productivo.</t>
  </si>
  <si>
    <t xml:space="preserve"> Identifica los principios y leyes físicas acordes con el contexto productivo.</t>
  </si>
  <si>
    <t xml:space="preserve">Identificar los principios y leyes generales de la físicas en maquinas o procesos de: cinematica, termodinamica, electromagnetismo, mecánica de fluidos, óptica, acústica y mecanica cuantica. </t>
  </si>
  <si>
    <r>
      <rPr>
        <b/>
        <sz val="10"/>
        <rFont val="Calibri"/>
        <family val="2"/>
      </rPr>
      <t>De conocimiento:</t>
    </r>
    <r>
      <rPr>
        <sz val="10"/>
        <rFont val="Calibri"/>
        <family val="2"/>
      </rPr>
      <t xml:space="preserve"> Elabora informe donde se explicando los principios y leyes generales de la física.
</t>
    </r>
    <r>
      <rPr>
        <b/>
        <sz val="10"/>
        <rFont val="Calibri"/>
        <family val="2"/>
      </rPr>
      <t>De proceso:</t>
    </r>
    <r>
      <rPr>
        <sz val="10"/>
        <rFont val="Calibri"/>
        <family val="2"/>
      </rPr>
      <t xml:space="preserve"> Selecciona una pieza mecánica o electrónica, donde explique los principios fisicos básicos que la rigen.
</t>
    </r>
    <r>
      <rPr>
        <b/>
        <sz val="10"/>
        <rFont val="Calibri"/>
        <family val="2"/>
      </rPr>
      <t>De producto:</t>
    </r>
    <r>
      <rPr>
        <sz val="10"/>
        <rFont val="Calibri"/>
        <family val="2"/>
      </rPr>
      <t xml:space="preserve"> Elaboración y exposición en formato power point de  los principios y leyes generales de la física.</t>
    </r>
  </si>
  <si>
    <t>Piezas mecánicas y electrónicas
Computador, office.
Proyector, pantalla LCD</t>
  </si>
  <si>
    <t>Proponer acciones de mejora en los procesos productivos de acuerdo con los principios y leyes de la física.</t>
  </si>
  <si>
    <t>Realiza experimentos para la interpretación de fenómenos de acuerdo con los principios y las leyes de la física. 
 Argumenta la incidencia de los principios y leyes de la física conforme con el contexto productivo.</t>
  </si>
  <si>
    <t xml:space="preserve">Realizar experimentos para comprobar principios y teorías físicas transformacion de la energía en cualquiera de las siguientes areas: cinemática, termodinámica, electromagnetismo, mecánica de fluidos, óptica, acústica y mecánica cuántica. </t>
  </si>
  <si>
    <r>
      <rPr>
        <b/>
        <sz val="10"/>
        <rFont val="Calibri"/>
        <family val="2"/>
      </rPr>
      <t>De conocimiento:</t>
    </r>
    <r>
      <rPr>
        <sz val="10"/>
        <rFont val="Calibri"/>
        <family val="2"/>
      </rPr>
      <t xml:space="preserve"> Elabora informe donde aplica las mediciones y cálculos físicos para el montaje de un sistema de oscilación en el tiempo llamado circuito astable con el lm 555.
</t>
    </r>
    <r>
      <rPr>
        <b/>
        <sz val="10"/>
        <rFont val="Calibri"/>
        <family val="2"/>
      </rPr>
      <t xml:space="preserve">De proceso: </t>
    </r>
    <r>
      <rPr>
        <sz val="10"/>
        <rFont val="Calibri"/>
        <family val="2"/>
      </rPr>
      <t xml:space="preserve">Realiza el montaje del sistema en una placa protoboard.
</t>
    </r>
    <r>
      <rPr>
        <b/>
        <sz val="10"/>
        <rFont val="Calibri"/>
        <family val="2"/>
      </rPr>
      <t>De producto:</t>
    </r>
    <r>
      <rPr>
        <sz val="10"/>
        <rFont val="Calibri"/>
        <family val="2"/>
      </rPr>
      <t xml:space="preserve"> Exposición del sistema e informe de los resultados obtenidos.</t>
    </r>
  </si>
  <si>
    <t>Papel, lápiz, multímetro digital. Circuito astable con lm 555
Computador, office hoja de excel
Proyector, pantalla LCD</t>
  </si>
  <si>
    <t>Razonar cuantitativamente frente a situaciones susceptibles de ser abordadas de manera matemática en contextos laborales, sociales y personales - MATEMÁTICAS</t>
  </si>
  <si>
    <t>Identificar  modelos  matemáticos  de acuerdo con los requerimientos  del problema planteado en contextos sociales y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</si>
  <si>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</si>
  <si>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Construir conceptos  matemáticos para plantear ecuaciones, sistemas de ecuaciones, establecer relaciones de proporcionalidad entre variables, aplicar criterios de semejanza, congruencia de figuras y finalmente aplicar los teoremas de Thales y Pitágoras.</t>
  </si>
  <si>
    <r>
      <rPr>
        <b/>
        <sz val="10"/>
        <rFont val="Calibri"/>
        <family val="2"/>
      </rPr>
      <t>De conocimiento:</t>
    </r>
    <r>
      <rPr>
        <sz val="10"/>
        <rFont val="Calibri"/>
        <family val="2"/>
      </rPr>
      <t xml:space="preserve"> Elabora informe donde se explicando los principio matemáticos.
</t>
    </r>
    <r>
      <rPr>
        <b/>
        <sz val="10"/>
        <rFont val="Calibri"/>
        <family val="2"/>
      </rPr>
      <t>De proceso:</t>
    </r>
    <r>
      <rPr>
        <sz val="10"/>
        <rFont val="Calibri"/>
        <family val="2"/>
      </rPr>
      <t xml:space="preserve"> Construye un juego donde formule y resuelva  varios problemas aplicándolos a su entorno.
</t>
    </r>
    <r>
      <rPr>
        <b/>
        <sz val="10"/>
        <rFont val="Calibri"/>
        <family val="2"/>
      </rPr>
      <t>De producto:</t>
    </r>
    <r>
      <rPr>
        <sz val="10"/>
        <rFont val="Calibri"/>
        <family val="2"/>
      </rPr>
      <t xml:space="preserve"> Elaboración y exposición ecuaciones o sistemas de ecuaciones  de acuerdo con la relación entre las variables </t>
    </r>
  </si>
  <si>
    <t>Presentaciones
Aprendizaje basado en problemas</t>
  </si>
  <si>
    <t>Tablero
10 Marcadores Borrables
Computador
Proyector</t>
  </si>
  <si>
    <t>Instructor Matemáticas</t>
  </si>
  <si>
    <t>Plantear problemas matemáticos a partir de situaciones generadas en el contexto social y productivo.</t>
  </si>
  <si>
    <t xml:space="preserve">1. Presenta solución a problemas mediante figuras geométricas 
2. Aplica procedimientos aritméticos y algebraicos según el problema planteado
3. Resuelve ecuaciones o sistemas de ecuaciones de acuerdo con principios matemáticos </t>
  </si>
  <si>
    <t>Desarrollar actividades para:
• Representar funciones en el plano cartesiano
• Realizar operaciones con números reales y con números complejos
• Calcular perímetros áreas y volúmenes
• Realizar transformaciones geométricas en el plano
• Realizar conversiones de unidades de medida</t>
  </si>
  <si>
    <r>
      <rPr>
        <b/>
        <sz val="10"/>
        <rFont val="Calibri"/>
        <family val="2"/>
      </rPr>
      <t>De conocimiento:</t>
    </r>
    <r>
      <rPr>
        <sz val="10"/>
        <rFont val="Calibri"/>
        <family val="2"/>
      </rPr>
      <t xml:space="preserve"> Cuadro resumen las definiciones de números reales, números complejos, perímetro, área, Volumen, unidades de medida.
</t>
    </r>
    <r>
      <rPr>
        <b/>
        <sz val="10"/>
        <rFont val="Calibri"/>
        <family val="2"/>
      </rPr>
      <t xml:space="preserve">De proceso: </t>
    </r>
    <r>
      <rPr>
        <sz val="10"/>
        <rFont val="Calibri"/>
        <family val="2"/>
      </rPr>
      <t xml:space="preserve">Construye varios problemas que contengan transformaciones geométricas de tipo: traslación, giro, simetría.
</t>
    </r>
    <r>
      <rPr>
        <b/>
        <sz val="10"/>
        <rFont val="Calibri"/>
        <family val="2"/>
      </rPr>
      <t>De producto:</t>
    </r>
    <r>
      <rPr>
        <sz val="10"/>
        <rFont val="Calibri"/>
        <family val="2"/>
      </rPr>
      <t xml:space="preserve"> Tabla con mediciones y conversiones.</t>
    </r>
  </si>
  <si>
    <t>Resolver problemas matemáticos a partir de situaciones generadas en el contexto social y productivo.</t>
  </si>
  <si>
    <t>1. Calcula perímetros, áreas y volúmenes de acuerdo con los elementos de la figura geométrica
2. Realiza conversiones según las equivalencias entre sistemas de medida
3. Representa conjunto de datos de acuerdo con la variable estadística</t>
  </si>
  <si>
    <t>Aplicar los principios matemáticos para resolver ecuaciones de primer y segundo grado, resolver sistemas de ecuaciones, construir gráficos estadísticos, calcular elementos de funciones, comprobar los procedimientos matemáticos deacuerdo con el contexto productivo.</t>
  </si>
  <si>
    <r>
      <rPr>
        <b/>
        <sz val="10"/>
        <rFont val="Calibri"/>
        <family val="2"/>
      </rPr>
      <t xml:space="preserve">De conocimiento: </t>
    </r>
    <r>
      <rPr>
        <sz val="10"/>
        <rFont val="Calibri"/>
        <family val="2"/>
      </rPr>
      <t xml:space="preserve">Elabore una informe  explicando los elementos de una función y como se calculan.  
</t>
    </r>
    <r>
      <rPr>
        <b/>
        <sz val="10"/>
        <rFont val="Calibri"/>
        <family val="2"/>
      </rPr>
      <t>De proceso:</t>
    </r>
    <r>
      <rPr>
        <sz val="10"/>
        <rFont val="Calibri"/>
        <family val="2"/>
      </rPr>
      <t xml:space="preserve"> Aplique y compruebe los procedimientos matemáticos en la resolución de los ejercicio propuestos en clase.
</t>
    </r>
    <r>
      <rPr>
        <b/>
        <sz val="10"/>
        <rFont val="Calibri"/>
        <family val="2"/>
      </rPr>
      <t xml:space="preserve">De producto: </t>
    </r>
    <r>
      <rPr>
        <sz val="10"/>
        <rFont val="Calibri"/>
        <family val="2"/>
      </rPr>
      <t xml:space="preserve">aplique los diferentes conceptos teóricos vistos en clase para  organizar, representar y caracterizar los aprendices del salón de clase, con el fin de describir apropiadamente las diversas características de esa población. </t>
    </r>
  </si>
  <si>
    <t>Proponer acciones de mejora frente a los resultados de los procedimientos matemáticos de acuerdo con el problema planteado.</t>
  </si>
  <si>
    <t>1. Selecciona las herramientas computacionales para la verificación de los resultados de acuerdo con los requerimientos matemáticos
2. Elabora una propuesta de solución alternativa a partir de los procedimientos matemáticos inicialmente planteados.</t>
  </si>
  <si>
    <t>Implementar mecanismos para:
-Verificar la solución de una ecuación
-Determinar errores de cálculos
-Usar herramientas computacionales básicas para cálculos numéricos
-Elaborar inferencias</t>
  </si>
  <si>
    <r>
      <rPr>
        <b/>
        <sz val="10"/>
        <rFont val="Calibri"/>
        <family val="2"/>
      </rPr>
      <t>De conocimiento:</t>
    </r>
    <r>
      <rPr>
        <sz val="10"/>
        <rFont val="Calibri"/>
        <family val="2"/>
      </rPr>
      <t xml:space="preserve"> Identificar diferentes estrategias que le permita determinar errores de cálculo y verificación de resolución de ecuaciones.
</t>
    </r>
    <r>
      <rPr>
        <b/>
        <sz val="10"/>
        <rFont val="Calibri"/>
        <family val="2"/>
      </rPr>
      <t>De proceso:</t>
    </r>
    <r>
      <rPr>
        <sz val="10"/>
        <rFont val="Calibri"/>
        <family val="2"/>
      </rPr>
      <t xml:space="preserve"> De acuerdo con los temas tratados en clase y los ejercicio realizados construya un informe  donde registre inferencias en relación a la resolución de problemas cotidianos. 
</t>
    </r>
    <r>
      <rPr>
        <b/>
        <sz val="10"/>
        <rFont val="Calibri"/>
        <family val="2"/>
      </rPr>
      <t xml:space="preserve">De producto: </t>
    </r>
    <r>
      <rPr>
        <sz val="10"/>
        <rFont val="Calibri"/>
        <family val="2"/>
      </rPr>
      <t xml:space="preserve"> Resuelva las diferentes ecuaciones planteadas en el curso por medio de Excel</t>
    </r>
  </si>
  <si>
    <t>Presentaciones
Taller</t>
  </si>
  <si>
    <t>Modelado de los artefactos del software</t>
  </si>
  <si>
    <t>Estructurar el modelo de datos del software de acuerdo con las especificaciones del análisis.</t>
  </si>
  <si>
    <t xml:space="preserve">• Genera el modelo conceptual de acuerdo con el tipo de base de datos seleccionada y las especificaciones del análisis.
• Genera el modelo lógico de acuerdo con la técnica seleccionada.
</t>
  </si>
  <si>
    <t>Diseñar la estructura de la base de datos del sistema</t>
  </si>
  <si>
    <r>
      <rPr>
        <b/>
        <sz val="11"/>
        <color rgb="FF000000"/>
        <rFont val="Calibri"/>
        <family val="2"/>
        <scheme val="minor"/>
      </rPr>
      <t xml:space="preserve">Evidencias de Conocimiento:
</t>
    </r>
    <r>
      <rPr>
        <sz val="11"/>
        <color rgb="FF000000"/>
        <rFont val="Calibri"/>
        <family val="2"/>
        <scheme val="minor"/>
      </rPr>
      <t xml:space="preserve">Evaluación de conocimientos sobre Modelos de Datos
Modelo Relacional, Modelos orientados a objetos,  Modelos de almacenamiento NoSQL
</t>
    </r>
    <r>
      <rPr>
        <b/>
        <sz val="11"/>
        <color rgb="FF000000"/>
        <rFont val="Calibri"/>
        <family val="2"/>
        <scheme val="minor"/>
      </rPr>
      <t xml:space="preserve">Evidencias de Desempeño:
</t>
    </r>
    <r>
      <rPr>
        <sz val="11"/>
        <color rgb="FF000000"/>
        <rFont val="Calibri"/>
        <family val="2"/>
        <scheme val="minor"/>
      </rPr>
      <t xml:space="preserve">Participa en las diferentes actividades pertinentemente y asertivamente.
</t>
    </r>
    <r>
      <rPr>
        <b/>
        <sz val="11"/>
        <color rgb="FF000000"/>
        <rFont val="Calibri"/>
        <family val="2"/>
        <scheme val="minor"/>
      </rPr>
      <t xml:space="preserve">Evidencias de Producto:
</t>
    </r>
    <r>
      <rPr>
        <sz val="11"/>
        <color rgb="FF000000"/>
        <rFont val="Calibri"/>
        <family val="2"/>
        <scheme val="minor"/>
      </rPr>
      <t>Modelos de datos para casos de estudio
Modelo de datos del proyecto formativo</t>
    </r>
  </si>
  <si>
    <t>Guia 18 DDL</t>
  </si>
  <si>
    <t xml:space="preserve"> Normaliza el modelo lógico de acuerdo con el tipo de base de datos.
• Crea el diccionario de datos de acuerdo con el modelo lógico. 
• Define políticas de seguridad para garantizar integridad, confidencialidad y disponibilidad de los datos.</t>
  </si>
  <si>
    <t>Optimizar el modelo de datos de acuerdo con estándares y polìticas de seguridad</t>
  </si>
  <si>
    <r>
      <rPr>
        <b/>
        <sz val="11"/>
        <color rgb="FF000000"/>
        <rFont val="Calibri"/>
        <family val="2"/>
        <scheme val="minor"/>
      </rPr>
      <t xml:space="preserve">Evidencias de Conocimiento:
</t>
    </r>
    <r>
      <rPr>
        <sz val="11"/>
        <color rgb="FF000000"/>
        <rFont val="Calibri"/>
        <family val="2"/>
        <scheme val="minor"/>
      </rPr>
      <t xml:space="preserve">Evaluación de conocimientos sobre Diseño Orientado a Objetos y Plataformas tecnológicas
</t>
    </r>
    <r>
      <rPr>
        <b/>
        <sz val="11"/>
        <color rgb="FF000000"/>
        <rFont val="Calibri"/>
        <family val="2"/>
        <scheme val="minor"/>
      </rPr>
      <t xml:space="preserve">Evidencias de Desempeño:
</t>
    </r>
    <r>
      <rPr>
        <sz val="11"/>
        <color rgb="FF000000"/>
        <rFont val="Calibri"/>
        <family val="2"/>
        <scheme val="minor"/>
      </rPr>
      <t xml:space="preserve">Participa en las diferentes actividades pertinentemente y asertivamente.
</t>
    </r>
    <r>
      <rPr>
        <b/>
        <sz val="11"/>
        <color rgb="FF000000"/>
        <rFont val="Calibri"/>
        <family val="2"/>
        <scheme val="minor"/>
      </rPr>
      <t xml:space="preserve">Evidencias de Producto:
</t>
    </r>
    <r>
      <rPr>
        <sz val="11"/>
        <color rgb="FF000000"/>
        <rFont val="Calibri"/>
        <family val="2"/>
        <scheme val="minor"/>
      </rPr>
      <t>Desarrollo de algoritmos usando herramientas gráficas, de pseudocódigo y con lenguaje Phyton</t>
    </r>
  </si>
  <si>
    <t>Guia 17 Normalización</t>
  </si>
  <si>
    <t>Elaborar los artefactos de diseño del software siguiendo las prácticas de la metodología seleccionada.</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</si>
  <si>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t>
  </si>
  <si>
    <t>Determinar la plataforma tecnológica a utilizar para el desarrollo del software</t>
  </si>
  <si>
    <r>
      <rPr>
        <b/>
        <sz val="11"/>
        <rFont val="Calibri"/>
        <family val="2"/>
        <scheme val="minor"/>
      </rPr>
      <t>Evidencias de Conocimiento:</t>
    </r>
    <r>
      <rPr>
        <sz val="11"/>
        <rFont val="Calibri"/>
        <family val="2"/>
        <scheme val="minor"/>
      </rPr>
      <t xml:space="preserve">
Evaluación de conocimientos sobre Diseño Orientado a Objetos y Plataformas tecnológicas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Plan de entregables del proyecto
Definición de plataforma tecnológica para el proyecto de formación</t>
    </r>
  </si>
  <si>
    <t>Guia 19</t>
  </si>
  <si>
    <t xml:space="preserve">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t>
  </si>
  <si>
    <t>Determinar estructura lógica del software a través del diagrama de clases y de paquetes</t>
  </si>
  <si>
    <r>
      <rPr>
        <b/>
        <sz val="11"/>
        <rFont val="Calibri"/>
        <family val="2"/>
        <scheme val="minor"/>
      </rPr>
      <t>Evidencias de Conocimiento:</t>
    </r>
    <r>
      <rPr>
        <sz val="11"/>
        <rFont val="Calibri"/>
        <family val="2"/>
        <scheme val="minor"/>
      </rPr>
      <t xml:space="preserve">
Evaluación de conocimientos sobre Diagrama de clases, patrones de diseño y arquitectura de software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Taller Arquitectura de software 
Diagrama de Clases del proyecto</t>
    </r>
  </si>
  <si>
    <t xml:space="preserve">• Crea la vista de componentes para visualizar el software en fases avanzadas del ciclo de vida.
• Crea la vista de despliegue del software para determinar condiciones de la implantación de la solución informática.
</t>
  </si>
  <si>
    <t>Elaborar los artefactos necesarios para el despliegue del software</t>
  </si>
  <si>
    <r>
      <rPr>
        <b/>
        <sz val="11"/>
        <rFont val="Calibri"/>
        <family val="2"/>
        <scheme val="minor"/>
      </rPr>
      <t>Evidencias de Conocimiento:</t>
    </r>
    <r>
      <rPr>
        <sz val="11"/>
        <rFont val="Calibri"/>
        <family val="2"/>
        <scheme val="minor"/>
      </rPr>
      <t xml:space="preserve">
Evaluación de conocimientos sobre Diagrama de componentes y Diagrama de despliegue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Diagrama de despliegue para caso de estudio
Diagrama de despliegue para el proyecto formativo</t>
    </r>
  </si>
  <si>
    <t>Guia 20 Boostrap y Materialize</t>
  </si>
  <si>
    <t>Verificar los entregables de la fase de diseño del software de acuerdo con lo establecido en el  informe de análisis. (593102 - 04  VERIFICAR LOS ENTREGABLES DE LA FASE DE DISEÑO DEL SOFTWARE DE ACUERDO CON LO ESTABLECIDO EN EL INFORME DE ANÁLISIS.)</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</si>
  <si>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</si>
  <si>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Realizar la evaluación de artefactos del software</t>
  </si>
  <si>
    <r>
      <rPr>
        <b/>
        <sz val="11"/>
        <rFont val="Calibri"/>
        <family val="2"/>
        <scheme val="minor"/>
      </rPr>
      <t>Evidencias de Conocimiento:</t>
    </r>
    <r>
      <rPr>
        <sz val="11"/>
        <rFont val="Calibri"/>
        <family val="2"/>
        <scheme val="minor"/>
      </rPr>
      <t xml:space="preserve">
Evaluación de conocimientos sobre atributos de calidad del diseño de software, técnicas de evaluación.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Informe de evaluación de artefactos del diseño del software</t>
    </r>
  </si>
  <si>
    <t>Guia 22 Login PHP</t>
  </si>
  <si>
    <t>Orientar investigación formativa según referentes técnicos - INVESTIGACIÓN</t>
  </si>
  <si>
    <t>Analizar el contexto productivo según sus características y necesidades-</t>
  </si>
  <si>
    <t>Reconoce las necesidades del contexto, según las problemáticas identificadas.</t>
  </si>
  <si>
    <t>Realizar una investigación del contexto productivo de la especialidad</t>
  </si>
  <si>
    <r>
      <rPr>
        <b/>
        <sz val="10"/>
        <rFont val="Calibri"/>
        <family val="2"/>
      </rPr>
      <t>De desempeño:</t>
    </r>
    <r>
      <rPr>
        <sz val="10"/>
        <rFont val="Calibri"/>
        <family val="2"/>
      </rPr>
      <t xml:space="preserve"> Expone sobre el contexto donde está inmersa su especialidad</t>
    </r>
  </si>
  <si>
    <t>Presentaciones</t>
  </si>
  <si>
    <t>Papel periódico, papeles de colores o post-it, marcadores permanentes y cinta de enmascarar.</t>
  </si>
  <si>
    <t>Instructor investigador</t>
  </si>
  <si>
    <t>Estructurar el proyecto de acuerdo a criterios de la investigación.</t>
  </si>
  <si>
    <t>Describe el problema de investigación de acuerdo a los elementos observados.
Plantea los objetivos de la investigación según la pregunta de investigación.</t>
  </si>
  <si>
    <t>Elaborar un proyecto sobre la importancia de la fotografía en el contexto colombiano.</t>
  </si>
  <si>
    <r>
      <rPr>
        <b/>
        <sz val="10"/>
        <rFont val="Calibri"/>
        <family val="2"/>
      </rPr>
      <t xml:space="preserve">De desempeño: </t>
    </r>
    <r>
      <rPr>
        <sz val="10"/>
        <rFont val="Calibri"/>
        <family val="2"/>
      </rPr>
      <t>Presenta avances sobre la investigación</t>
    </r>
  </si>
  <si>
    <t>Presentaciones
Debate</t>
  </si>
  <si>
    <t>Argumentar aspectos teóricos del proyecto según referentes nacionales e internacionales.</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</si>
  <si>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</si>
  <si>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Comparar los cambios tecnológicos de la fotografía a nivel mundial</t>
  </si>
  <si>
    <r>
      <rPr>
        <b/>
        <sz val="10"/>
        <rFont val="Calibri"/>
        <family val="2"/>
      </rPr>
      <t xml:space="preserve">De desempeño: </t>
    </r>
    <r>
      <rPr>
        <sz val="10"/>
        <rFont val="Calibri"/>
        <family val="2"/>
      </rPr>
      <t>Compara los resultados nacionales con el ámbito internacional</t>
    </r>
  </si>
  <si>
    <t>Proponer soluciones a las necesidades del contexto según resultados de la investigación.</t>
  </si>
  <si>
    <t>Comunica los resultados de la investigación según criterios de presentación de informes.</t>
  </si>
  <si>
    <t>Presentar una propuesta  que de respuesta al objetivo del proyecto.</t>
  </si>
  <si>
    <r>
      <rPr>
        <b/>
        <sz val="10"/>
        <rFont val="Calibri"/>
        <family val="2"/>
      </rPr>
      <t xml:space="preserve">De producto: </t>
    </r>
    <r>
      <rPr>
        <sz val="10"/>
        <rFont val="Calibri"/>
        <family val="2"/>
      </rPr>
      <t>Proyecto final con normas APA</t>
    </r>
  </si>
  <si>
    <t>Sustentación</t>
  </si>
  <si>
    <t>Enrique Low Murtra-Interactuar en el contexto productivo y social de acuerdo con principios éticos para la construcción de una cultura de paz - ETICA Y CULTURA PAZ</t>
  </si>
  <si>
    <t>Promover mi dignidad y la del otro a partir de los principios y valores éticos como aporte en la instauración de una cultura de paz.</t>
  </si>
  <si>
    <t>Reconoce su valor y el valor del otro de acuerdo a los principios de dignidad y construcción cultural
y autonomía.                                                                                                                                                                Cambia actitudes frente a su comportamiento con base en la dignidad, aportando a la cultura de paz</t>
  </si>
  <si>
    <t>Reconocer a partir de los  diferentes componentes  de la autoestima y de las dimensiones humanas la importancia de la autoregulación, autoconciencia, en la interacción consigo mismo y con los demás.</t>
  </si>
  <si>
    <r>
      <rPr>
        <b/>
        <sz val="10"/>
        <rFont val="Calibri"/>
        <family val="2"/>
      </rPr>
      <t>De producto:</t>
    </r>
    <r>
      <rPr>
        <sz val="10"/>
        <rFont val="Calibri"/>
        <family val="2"/>
      </rPr>
      <t xml:space="preserve"> Realice una ilustración suya donde se coloquen los debilidades, fortalezas, habilidades talentos, y las dimensiones humanas, utilizando los diferentes materiales, de manera muy creativa y lúdica.</t>
    </r>
  </si>
  <si>
    <t>Estudio de casos
Tarjetas colores
Taller</t>
  </si>
  <si>
    <t>Papel periódico, marcadores de colores, pegante, revistas, tijeras, tablero. Tarjetas de colores, cinta.</t>
  </si>
  <si>
    <t>Instructor de ética</t>
  </si>
  <si>
    <t>Promover el uso racional de los recursos naturales a partir de criterios de sostenibilidad y sustentabilidad ética y normativa vigente.</t>
  </si>
  <si>
    <t>Define su proyecto de vida de acuerdo a los criterios de dignidad, de respeto, creencias, ecología y cultura</t>
  </si>
  <si>
    <t>Concienciar acerca del cuidado y preservación del medio ambiente</t>
  </si>
  <si>
    <r>
      <rPr>
        <b/>
        <sz val="10"/>
        <rFont val="Calibri"/>
        <family val="2"/>
      </rPr>
      <t>De producto:</t>
    </r>
    <r>
      <rPr>
        <sz val="10"/>
        <rFont val="Calibri"/>
        <family val="2"/>
      </rPr>
      <t xml:space="preserve"> Realice una ilustración afiche, de manera muy creativa y lúdica, donde se fomente el respeto por el entorno y el cuidado de las diferentes culturas y la biodiversidad.</t>
    </r>
  </si>
  <si>
    <t>Talleres
Dramatizaciones</t>
  </si>
  <si>
    <t>Contribuir con el fortalecimiento de la cultura de paz a partir de la dignidad humana y las estrategias para la transformación de conflictos.</t>
  </si>
  <si>
    <t xml:space="preserve">Cambia actitudes frente a su comportamiento con base en la dignidad, aportando a la cultura de paz                                                                                                                                                                                                  Reconoce hitos históricos de violencia y paz como aporte a la construcción de una cultura de paz  </t>
  </si>
  <si>
    <t>Contribuir con el fortalecimiento de la cultura de paz a partir de</t>
  </si>
  <si>
    <r>
      <rPr>
        <b/>
        <sz val="10"/>
        <rFont val="Calibri"/>
        <family val="2"/>
      </rPr>
      <t>De desempeño:</t>
    </r>
    <r>
      <rPr>
        <sz val="10"/>
        <rFont val="Calibri"/>
        <family val="2"/>
      </rPr>
      <t xml:space="preserve"> Reconoce las normas y partes de la misma como fundamento para la sana convivencia en sociedad, respetando los contextos culturales a través de dramatizaciones.</t>
    </r>
  </si>
  <si>
    <t>Tarjetas colores
Debate</t>
  </si>
  <si>
    <t>Establecer relaciones de crecimiento personal y comunitario a partir del bien común como aporte para el desarrollo social.</t>
  </si>
  <si>
    <t>Construye relaciones interpersonales a partir del enfoque diferencial y la promoción de una cultura de paz.                                                                                                                                                                                     
Utiliza herramientas que permiten la comunicación asertiva en diferentes entornos teniendo en cuenta la pedagogía para la paz</t>
  </si>
  <si>
    <t>Reconocer la importancia de la  aplicación de las normas en la armonía e interacción con los otros; a partir de  los derechos humanos.</t>
  </si>
  <si>
    <r>
      <rPr>
        <b/>
        <sz val="10"/>
        <rFont val="Calibri"/>
        <family val="2"/>
      </rPr>
      <t>De producto:</t>
    </r>
    <r>
      <rPr>
        <sz val="10"/>
        <rFont val="Calibri"/>
        <family val="2"/>
      </rPr>
      <t xml:space="preserve"> Elabore manual de convivencia fundamentado  las partes obligatorias de una norma, donde se tengan en cuenta los derechos humanos.</t>
    </r>
  </si>
  <si>
    <t xml:space="preserve">Talleres
</t>
  </si>
  <si>
    <t>Determinar las características técnicas de la interfaz gráfica del software adoptando estándares de presentación.</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</si>
  <si>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</si>
  <si>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Elaborar el prototipo navegable del software aplicando estandares de usabilidad y accesibilidad</t>
  </si>
  <si>
    <r>
      <rPr>
        <b/>
        <sz val="11"/>
        <rFont val="Calibri"/>
        <family val="2"/>
        <scheme val="minor"/>
      </rPr>
      <t>Evidencias de Conocimiento:</t>
    </r>
    <r>
      <rPr>
        <sz val="11"/>
        <rFont val="Calibri"/>
        <family val="2"/>
        <scheme val="minor"/>
      </rPr>
      <t xml:space="preserve">
Evaluación de conocimientos sobre interfaz gráfica de usuario, usabilidad, accesibilidad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Maquetación de Interfaz gráfica en HTML
Mapa de Navegación</t>
    </r>
  </si>
  <si>
    <t xml:space="preserve">Guia 21 PHP MVC, Laravel CRUD </t>
  </si>
  <si>
    <t>Aplicar prácticas de protección ambiental, seguridad y salud en el trabajo de acuerdo con las políticas organizacionales y la normatividad vigente - MEDIO AMBIENTE</t>
  </si>
  <si>
    <t>Analizar las estrategias para la prevención y control de los impactos ambientales y de los accidentes y enfermedades laborales (ATEL) de acuerdo con las políticas organizacionales  y el entorno social.</t>
  </si>
  <si>
    <t>Participa en el desarrollo de acciones orientadas al control de los impactos ambientales y la disminución de accidentes y enfermedades laborales de acuerdo con los planes y programas establecidos por la organización.</t>
  </si>
  <si>
    <t xml:space="preserve">Identificar las principales enfermedades y los factores de riesgo inherentes a la actividad desarrollada de acuerdo con la normatividad legal vigente. </t>
  </si>
  <si>
    <r>
      <rPr>
        <b/>
        <sz val="10"/>
        <rFont val="Calibri"/>
        <family val="2"/>
      </rPr>
      <t xml:space="preserve">De conocimiento: </t>
    </r>
    <r>
      <rPr>
        <sz val="10"/>
        <rFont val="Calibri"/>
        <family val="2"/>
      </rPr>
      <t xml:space="preserve">  Reconcocer los diferentes factores de riesgos y/o accidentes  en el lugar de trabajo que pueden desencadenar enfermedades laborales.                                                                                                                                                     </t>
    </r>
    <r>
      <rPr>
        <b/>
        <sz val="10"/>
        <rFont val="Calibri"/>
        <family val="2"/>
      </rPr>
      <t xml:space="preserve">De Desempeño:  </t>
    </r>
    <r>
      <rPr>
        <sz val="10"/>
        <rFont val="Calibri"/>
        <family val="2"/>
      </rPr>
      <t xml:space="preserve"> Análisis e interpretación de la información.                                                                                                                               </t>
    </r>
    <r>
      <rPr>
        <b/>
        <sz val="10"/>
        <rFont val="Calibri"/>
        <family val="2"/>
      </rPr>
      <t>De Producto:</t>
    </r>
    <r>
      <rPr>
        <sz val="10"/>
        <rFont val="Calibri"/>
        <family val="2"/>
      </rPr>
      <t xml:space="preserve">  Artículo científico sobre las principales enfermedades que se pueden dar en su ámbito laboral</t>
    </r>
  </si>
  <si>
    <t>Mapa conceptual
Presentaciones</t>
  </si>
  <si>
    <t>Aula y talleres centro</t>
  </si>
  <si>
    <t>Materiales. Listas de verificación, sonido, guia de aprendizaje, referencia bibliografica.</t>
  </si>
  <si>
    <t>Instructor de Salud ocupacional</t>
  </si>
  <si>
    <t>Implementar estrategias para el control de los impactos ambientales y de los accidentes y enfermedades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</si>
  <si>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</si>
  <si>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Realizar el plan de Gestión de Residuos Solidos de su entorno laboral.</t>
  </si>
  <si>
    <r>
      <rPr>
        <b/>
        <sz val="10"/>
        <rFont val="Calibri"/>
        <family val="2"/>
      </rPr>
      <t>De conocimiento:</t>
    </r>
    <r>
      <rPr>
        <sz val="10"/>
        <rFont val="Calibri"/>
        <family val="2"/>
      </rPr>
      <t xml:space="preserve">  Conceptualiza y reconoce los principales elementos que se deben tener en cuenta para la gestión  ambiental de acuerdo a su contexto laboral.                                                                                                                                                                                      </t>
    </r>
    <r>
      <rPr>
        <b/>
        <sz val="10"/>
        <rFont val="Calibri"/>
        <family val="2"/>
      </rPr>
      <t>De Desempeño:</t>
    </r>
    <r>
      <rPr>
        <sz val="10"/>
        <rFont val="Calibri"/>
        <family val="2"/>
      </rPr>
      <t xml:space="preserve">  participación  activa de las diferentes actividades propuestas (Test Huella Ecológica).                                                                                                                                                            </t>
    </r>
    <r>
      <rPr>
        <b/>
        <sz val="10"/>
        <rFont val="Calibri"/>
        <family val="2"/>
      </rPr>
      <t>De Producto</t>
    </r>
    <r>
      <rPr>
        <sz val="10"/>
        <rFont val="Calibri"/>
        <family val="2"/>
      </rPr>
      <t>:  Matriz Gestión Ambiental de  Residuos Sólidos.</t>
    </r>
  </si>
  <si>
    <t>Recorrido de inspección
Panel</t>
  </si>
  <si>
    <t xml:space="preserve">DUR del sector ambiental decreto 1076 de 2015, Decreto 351 de 2014, resolución 2400 de 1979, ley 9 de 1979 y decreto 1072 de 2015 art. 2.2..4.6.1 al 2.2.4.6.32, </t>
  </si>
  <si>
    <t>Discutir  sobre  posibles  soluciones  a  problemas  dentro  de  un  rango  variado  de contextos sociales y laborales.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</si>
  <si>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</si>
  <si>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Presentar oralmente un análisis y solución de una situación problema dentro de su ámbito laboral.</t>
  </si>
  <si>
    <r>
      <rPr>
        <b/>
        <sz val="10"/>
        <rFont val="Calibri"/>
        <family val="2"/>
      </rPr>
      <t xml:space="preserve">De conocimiento: </t>
    </r>
    <r>
      <rPr>
        <sz val="10"/>
        <rFont val="Calibri"/>
        <family val="2"/>
      </rPr>
      <t xml:space="preserve">Identifica expresiones básicas para comunicarse en su ambiente laboral cotidiano en inglés.                                                                                                                                                                                     </t>
    </r>
    <r>
      <rPr>
        <b/>
        <sz val="10"/>
        <rFont val="Calibri"/>
        <family val="2"/>
      </rPr>
      <t>De desempeño:</t>
    </r>
    <r>
      <rPr>
        <sz val="10"/>
        <rFont val="Calibri"/>
        <family val="2"/>
      </rPr>
      <t xml:space="preserve"> Explica una situación problemática común en su contexto laboral apoyado en una presenctación en Prezi, Power Point u otro medio apropiado para hacerlo                                                                                                                                   </t>
    </r>
    <r>
      <rPr>
        <b/>
        <sz val="10"/>
        <rFont val="Calibri"/>
        <family val="2"/>
      </rPr>
      <t>De producto:</t>
    </r>
    <r>
      <rPr>
        <sz val="10"/>
        <rFont val="Calibri"/>
        <family val="2"/>
      </rPr>
      <t xml:space="preserve"> Escribe acerca de situación problemática de su contexto laboral utilizando las expresiones pertinentes para su presentación oral</t>
    </r>
  </si>
  <si>
    <t>Taller
Dramatizaciones</t>
  </si>
  <si>
    <t xml:space="preserve">Guía de aprendizaje. Materiales para recrear el contexto particular donde se va a desarrollar la escena teatral: cartulinas, marcadores, pinturas, recortes de revistas o periódicos. Implementos para recrear contextos laborales: escritorios, documentos, accesorios de decoración y todos los que sean necesarios. </t>
  </si>
  <si>
    <t>Trimestre 4</t>
  </si>
  <si>
    <t>Generación de Hábitos saludables de vida mediante la aplicación de programas de Actividad Física en los contextos productivos y sociales. - ACTIVIDAD FÍSICA</t>
  </si>
  <si>
    <t>Practicar hábitos saludables mediante la aplicación de fundamentos de nutrición e higiene.</t>
  </si>
  <si>
    <t>Interpreta los fundamentos de Estilo de vida saludable, Higiene y Nutrición en los contextos productivo y social.
Administra un plan de Higiene Corporal dentro del contexto productivo.</t>
  </si>
  <si>
    <t>Reconocer la importancia de los hábitos de vida saludable, identificar el valor nutricional de los alimentos y comprender como funciona el gasto calórico del ser humano con la actividad física.</t>
  </si>
  <si>
    <r>
      <rPr>
        <b/>
        <sz val="10"/>
        <rFont val="Calibri"/>
        <family val="2"/>
      </rPr>
      <t>De conocimiento:</t>
    </r>
    <r>
      <rPr>
        <sz val="10"/>
        <rFont val="Calibri"/>
        <family val="2"/>
      </rPr>
      <t xml:space="preserve"> Conceptos sobre higiene, nutrición y gasto calórico. 
</t>
    </r>
    <r>
      <rPr>
        <b/>
        <sz val="10"/>
        <rFont val="Calibri"/>
        <family val="2"/>
      </rPr>
      <t>De Desempeño:</t>
    </r>
    <r>
      <rPr>
        <sz val="10"/>
        <rFont val="Calibri"/>
        <family val="2"/>
      </rPr>
      <t xml:space="preserve">    Identifica y pone en práctica hábitos de vida saludable y entiende la importancia de un balance nutricional en el gasto energético del ser humano.
</t>
    </r>
    <r>
      <rPr>
        <b/>
        <sz val="10"/>
        <rFont val="Calibri"/>
        <family val="2"/>
      </rPr>
      <t xml:space="preserve">De Producto: </t>
    </r>
    <r>
      <rPr>
        <sz val="10"/>
        <rFont val="Calibri"/>
        <family val="2"/>
      </rPr>
      <t>Crear un Decálogo (entregable) de vida saludable.</t>
    </r>
  </si>
  <si>
    <t>Talleres
Ejercicios prácticos</t>
  </si>
  <si>
    <t>Aula, campos deportivos o coliseo.</t>
  </si>
  <si>
    <t>Guía de formación, video beam o Smart tv, computador portátil, materiales deportivos, lazos, step, pelotas para pilates, bosu ball, TRX, colchonetas, bandas elásticas, bastones, balones de espuma, balones medicinales, balones de rebote, aros, pelotas de tenis, pimpones, balones de diferentes deportes.</t>
  </si>
  <si>
    <t>Instructor actividad física</t>
  </si>
  <si>
    <t>Desarrollar habilidades psicomotrices en el contexto productivo y social.</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</si>
  <si>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</si>
  <si>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Implementar actividades físico deportivas y nuevas tendencias de acondicionamiento y trabajo físico como herramientas para desarrollar habilidades y destrezas mentales, de coordinación y agilidad en la resolución de problemas cognitivos y de movimiento.</t>
  </si>
  <si>
    <r>
      <rPr>
        <b/>
        <sz val="10"/>
        <rFont val="Calibri"/>
        <family val="2"/>
      </rPr>
      <t>De conocimiento:</t>
    </r>
    <r>
      <rPr>
        <sz val="10"/>
        <rFont val="Calibri"/>
        <family val="2"/>
      </rPr>
      <t xml:space="preserve"> Documento descriptivo de las necesidades de desarrollo motriz relacionadas con su perfil ocupacional.
</t>
    </r>
    <r>
      <rPr>
        <b/>
        <sz val="10"/>
        <rFont val="Calibri"/>
        <family val="2"/>
      </rPr>
      <t xml:space="preserve">De Desempeño: </t>
    </r>
    <r>
      <rPr>
        <sz val="10"/>
        <rFont val="Calibri"/>
        <family val="2"/>
      </rPr>
      <t xml:space="preserve">Ejecuta actividades individuales y grupales que le permiten desarrollar sus habilidades psicomotrices (participación activa durante la formación). 
</t>
    </r>
    <r>
      <rPr>
        <b/>
        <sz val="10"/>
        <rFont val="Calibri"/>
        <family val="2"/>
      </rPr>
      <t>De Producto:</t>
    </r>
    <r>
      <rPr>
        <sz val="10"/>
        <rFont val="Calibri"/>
        <family val="2"/>
      </rPr>
      <t xml:space="preserve"> Planeación y ejecución de una formación de actividad Física donde se promueva el desarrollo de habilidades psicomotrices (lista de chequeo).</t>
    </r>
  </si>
  <si>
    <t>Guía de formación, materiales deportivos, lazos, step, pelotas para pilates, bosu ball, TRX, sonido, amplificador, colchonetas, balones de fútbol, balones de baloncesto, balones de voleibol, balones de fútsala, balón de futbol americano, discos para Ultímate, raquetas de tenis, bolas para tenis, raquetas de tenis de mesa, ping pong para tenis de mesa, raquetas de bádminton, volantes para bádminton, malla para bádminton, malla para voleibol, balones de espuma o pedagógicos, ajedrez, mesa para tenis de mesa, bandas elásticas, bastones, balones medicinales, balones de rebote.</t>
  </si>
  <si>
    <t>EJECUCIÓN</t>
  </si>
  <si>
    <t>Construcción del software (38368 - DESARROLLAR LA SOLUCIÓN DE SOFTWARE DE ACUERDO CON EL DISEÑO Y METODOLOGÍAS DE DESARROLLO)</t>
  </si>
  <si>
    <t>Construir la base de datos para el software a partir del modelo de datos. 
120 (593107 - 02  CONSTRUIR LA BASE DE DATOS PARA EL SOFTWARE A PARTIR DEL MODELO DE DATOS.)</t>
  </si>
  <si>
    <t xml:space="preserve">• Crea la base de datos integrando los objetos de acuerdo con la funcionalidad del software. 
</t>
  </si>
  <si>
    <t>AA01 Crear objetos de la base de datos</t>
  </si>
  <si>
    <r>
      <rPr>
        <b/>
        <sz val="10"/>
        <rFont val="Arial"/>
        <family val="2"/>
      </rPr>
      <t>Evidencias de Conocimiento:</t>
    </r>
    <r>
      <rPr>
        <sz val="10"/>
        <rFont val="Arial"/>
        <family val="2"/>
      </rPr>
      <t xml:space="preserve">
Prueba de conocimiento para identificar objetos de una Base de Datos relacional y no relacional (Cuestionario).
</t>
    </r>
    <r>
      <rPr>
        <b/>
        <sz val="10"/>
        <rFont val="Arial"/>
        <family val="2"/>
      </rPr>
      <t xml:space="preserve">Evidencias de Desempeño:
</t>
    </r>
    <r>
      <rPr>
        <sz val="10"/>
        <rFont val="Arial"/>
        <family val="2"/>
      </rPr>
      <t>Sustentación de creación de los objetos de la Base de Datos en clase (Listas de Chequeo).</t>
    </r>
    <r>
      <rPr>
        <b/>
        <sz val="10"/>
        <rFont val="Arial"/>
        <family val="2"/>
      </rPr>
      <t xml:space="preserve">
</t>
    </r>
    <r>
      <rPr>
        <sz val="10"/>
        <rFont val="Arial"/>
        <family val="2"/>
      </rPr>
      <t xml:space="preserve">
</t>
    </r>
    <r>
      <rPr>
        <b/>
        <sz val="10"/>
        <rFont val="Arial"/>
        <family val="2"/>
      </rPr>
      <t>Evidencias de Producto:</t>
    </r>
    <r>
      <rPr>
        <sz val="10"/>
        <rFont val="Arial"/>
        <family val="2"/>
      </rPr>
      <t xml:space="preserve">
Bases de Datos creadas (Relacional y no relacional).
(Listas de chequeo). 
</t>
    </r>
  </si>
  <si>
    <t>* Workshop creación objetos de una base de datos relacional.
* Creación de objetos de la base de datos del proyecto formativo.</t>
  </si>
  <si>
    <t>Ambiente de formación con: Computadores  (25)
Cable HDMI 
TV o Video Beam para proyección 
Acceso a internet
Software para manipulación de BD relacionales y no relacionales.</t>
  </si>
  <si>
    <t>Marcadores,
Pósit para notas adhesivas.</t>
  </si>
  <si>
    <t>Python mvc con Flask y SQLAlchemy Guía 43.1</t>
  </si>
  <si>
    <t>• Implementa restricciones en la base de datos de acuerdo con las reglas de diseño.</t>
  </si>
  <si>
    <t>AA02 Manipular datos en el Sistema Administrador de Bases de Datos (SMBD).</t>
  </si>
  <si>
    <r>
      <rPr>
        <b/>
        <sz val="10"/>
        <rFont val="Arial"/>
        <family val="2"/>
      </rPr>
      <t>Evidencias de Conocimiento:</t>
    </r>
    <r>
      <rPr>
        <sz val="10"/>
        <rFont val="Arial"/>
        <family val="2"/>
      </rPr>
      <t xml:space="preserve">
Prueba de conocimiento para la manipulación de datos en un sistema administrador de bases de datos
(Cuestionario).
</t>
    </r>
    <r>
      <rPr>
        <b/>
        <sz val="10"/>
        <rFont val="Arial"/>
        <family val="2"/>
      </rPr>
      <t xml:space="preserve">Evidencias de Desempeño:
</t>
    </r>
    <r>
      <rPr>
        <sz val="10"/>
        <rFont val="Arial"/>
        <family val="2"/>
      </rPr>
      <t>Verificación de procedimientos para la manipulación de datos mediante requerimientos expuestos en clase
(Listas de chequeo).</t>
    </r>
    <r>
      <rPr>
        <b/>
        <sz val="10"/>
        <rFont val="Arial"/>
        <family val="2"/>
      </rPr>
      <t xml:space="preserve">
</t>
    </r>
    <r>
      <rPr>
        <sz val="10"/>
        <rFont val="Arial"/>
        <family val="2"/>
      </rPr>
      <t xml:space="preserve">
</t>
    </r>
    <r>
      <rPr>
        <b/>
        <sz val="10"/>
        <rFont val="Arial"/>
        <family val="2"/>
      </rPr>
      <t xml:space="preserve">Evidencias de Producto: 
</t>
    </r>
    <r>
      <rPr>
        <sz val="10"/>
        <rFont val="Arial"/>
        <family val="2"/>
      </rPr>
      <t xml:space="preserve">Solución de casos para la manipulación de datos
(Listas de Chequeo).
</t>
    </r>
  </si>
  <si>
    <t>*Caso de estudio para manipulación de sentencias SQL, Procedimientos almacenados.
* Práctica con la Base de Datos del proyecto formativo.</t>
  </si>
  <si>
    <t>1 Instructor</t>
  </si>
  <si>
    <t xml:space="preserve">
• Define esquemas de seguridad en la base de datos para mantener la integridad de la información.</t>
  </si>
  <si>
    <t>AA03 Definir esquemas de seguridad de los datos</t>
  </si>
  <si>
    <r>
      <rPr>
        <b/>
        <sz val="10"/>
        <rFont val="Arial"/>
        <family val="2"/>
      </rPr>
      <t>Evidencias de Conocimiento:</t>
    </r>
    <r>
      <rPr>
        <sz val="10"/>
        <rFont val="Arial"/>
        <family val="2"/>
      </rPr>
      <t xml:space="preserve">
Prueba de conocimiento sobre conceptos y principios de seguridad de los datos
(Cuestionario).
</t>
    </r>
    <r>
      <rPr>
        <b/>
        <sz val="10"/>
        <rFont val="Arial"/>
        <family val="2"/>
      </rPr>
      <t xml:space="preserve">Evidencias de Desempeño:
</t>
    </r>
    <r>
      <rPr>
        <sz val="10"/>
        <rFont val="Arial"/>
        <family val="2"/>
      </rPr>
      <t>Verificación de procedimientos para definir la seguridad de los datos
(Listas de Chequeo).</t>
    </r>
    <r>
      <rPr>
        <b/>
        <sz val="10"/>
        <rFont val="Arial"/>
        <family val="2"/>
      </rPr>
      <t xml:space="preserve">
</t>
    </r>
    <r>
      <rPr>
        <sz val="10"/>
        <rFont val="Arial"/>
        <family val="2"/>
      </rPr>
      <t xml:space="preserve">
</t>
    </r>
    <r>
      <rPr>
        <b/>
        <sz val="10"/>
        <rFont val="Arial"/>
        <family val="2"/>
      </rPr>
      <t xml:space="preserve">Evidencias de Producto: 
</t>
    </r>
    <r>
      <rPr>
        <sz val="10"/>
        <rFont val="Arial"/>
        <family val="2"/>
      </rPr>
      <t xml:space="preserve">Práctica de seguridad aplicada a los datos
(Listas de Chequeo).
</t>
    </r>
  </si>
  <si>
    <t xml:space="preserve">* Workshop de seguridad de los datos.
</t>
  </si>
  <si>
    <t>Crear componentes front-end del software de acuerdo con el diseño. 
150</t>
  </si>
  <si>
    <t>• Genera plantillas y estilos de acuerdo con el diseño establecido.</t>
  </si>
  <si>
    <t>AA04 Generar plantillas y estilos.</t>
  </si>
  <si>
    <r>
      <rPr>
        <b/>
        <sz val="10"/>
        <rFont val="Arial"/>
        <family val="2"/>
      </rPr>
      <t>Evidencias de Conocimiento:</t>
    </r>
    <r>
      <rPr>
        <sz val="10"/>
        <rFont val="Arial"/>
        <family val="2"/>
      </rPr>
      <t xml:space="preserve">
Prueba de conocimiento sobre componentes Front-End
(Cuestionario).
</t>
    </r>
    <r>
      <rPr>
        <b/>
        <sz val="10"/>
        <rFont val="Arial"/>
        <family val="2"/>
      </rPr>
      <t>Evidencias de Desempeño:</t>
    </r>
    <r>
      <rPr>
        <sz val="10"/>
        <rFont val="Arial"/>
        <family val="2"/>
      </rPr>
      <t xml:space="preserve">
Verificación de procedimientos para la definición de componentes Front-End de la aplicación
(Listas de chequeo).
</t>
    </r>
    <r>
      <rPr>
        <b/>
        <sz val="10"/>
        <rFont val="Arial"/>
        <family val="2"/>
      </rPr>
      <t>Evidencias de Producto:</t>
    </r>
    <r>
      <rPr>
        <sz val="10"/>
        <rFont val="Arial"/>
        <family val="2"/>
      </rPr>
      <t xml:space="preserve"> 
Componente Front-End del proyecto formativo y proyectos de clase
(Listas de chequeo).
</t>
    </r>
  </si>
  <si>
    <t>Caso de estudio para la definición de componentes Front-End</t>
  </si>
  <si>
    <t>Ambiente de formación con: Computadores  (25)
Cable HDMI 
TV o Video Beam para proyección 
Acceso a internet
Software para manipulación de componentes Front-End</t>
  </si>
  <si>
    <t>• Crea interfaces de usuario aplicando buenas prácticas de usabilidad y accesibilidad.</t>
  </si>
  <si>
    <t>AA05 Crear interfaces gráficas de usuario en aplicaciones de escritorio, web y móviles.</t>
  </si>
  <si>
    <t>Caso de estudio para la creación de interfaces gráficas en aplicaciones de escritorio, web y móviles.</t>
  </si>
  <si>
    <t>Ambiente de formación con: Computadores  (25)
Cable HDMI 
TV o Video Beam para proyección 
Acceso a internet
Software para manipulación de componentes Front-End.</t>
  </si>
  <si>
    <t>Actividad Física y hábitos de vida saludable</t>
  </si>
  <si>
    <t>Ejecutar actividades de acondicionamiento físico orientadas hacia el mejoramiento de la condición física en los contextos productivo y social.</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</si>
  <si>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</si>
  <si>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AA06 Realizar una autoevaluación de la Condición Física y los hábitos de vida como parámetro para iniciar un plan de Acondicionamiento Físico que le permita un mejor desempeño a nivel productivo y social.</t>
  </si>
  <si>
    <r>
      <rPr>
        <b/>
        <sz val="10"/>
        <rFont val="Calibri"/>
        <family val="2"/>
      </rPr>
      <t>De conocimiento:</t>
    </r>
    <r>
      <rPr>
        <sz val="10"/>
        <rFont val="Calibri"/>
        <family val="2"/>
      </rPr>
      <t xml:space="preserve"> Conceptos sobre cualidades físicas, ficha antropométrica, Acondicionamiento físico, ejercicio físico. 
</t>
    </r>
    <r>
      <rPr>
        <b/>
        <sz val="10"/>
        <rFont val="Calibri"/>
        <family val="2"/>
      </rPr>
      <t xml:space="preserve">De Desempeño: </t>
    </r>
    <r>
      <rPr>
        <sz val="10"/>
        <rFont val="Calibri"/>
        <family val="2"/>
      </rPr>
      <t xml:space="preserve">Ficha antropométrica. 
</t>
    </r>
    <r>
      <rPr>
        <b/>
        <sz val="10"/>
        <rFont val="Calibri"/>
        <family val="2"/>
      </rPr>
      <t xml:space="preserve">De Producto: </t>
    </r>
    <r>
      <rPr>
        <sz val="10"/>
        <rFont val="Calibri"/>
        <family val="2"/>
      </rPr>
      <t xml:space="preserve">Plan de Acondicionamiento físico.  </t>
    </r>
  </si>
  <si>
    <t>Guía de formación, computador portátil, video beam o Smart tv, copias cuestionario para la práctica de Actividad Física PAR-Q, copias cuestionario "AUTODIAGNOSTICO DE ACTIVIDAD FÍSICA",   copias "FICHA ANTROPOMETRICA", Báscula, cinta métrica (decámetro), cronómetro, adipómetro (manual o digital), calculadora (IMC), conos, colchonetas, copias formato de "RUTINA DE ACONDICIONAMIENTO".</t>
  </si>
  <si>
    <t>Implementar un plan de Ergonomía y Pausas Activas según las características de la función productiva.</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</si>
  <si>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</si>
  <si>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AA07 Desarrollar actividades físico deportivas planeadas y estructuradas para fortalecer su sistema Osteo Artro Muscular con el fin de corregir malas posturas y generar hábitos de cuidado y prevención de riesgos posturales y de fatiga laboral.</t>
  </si>
  <si>
    <r>
      <rPr>
        <b/>
        <sz val="10"/>
        <rFont val="Calibri"/>
        <family val="2"/>
      </rPr>
      <t>De conocimiento:</t>
    </r>
    <r>
      <rPr>
        <sz val="10"/>
        <rFont val="Calibri"/>
        <family val="2"/>
      </rPr>
      <t xml:space="preserve"> Manejo conceptual sobre ergonomía, pausas activas, salud en el trabajo y prevención de riesgos profesionales. 
</t>
    </r>
    <r>
      <rPr>
        <b/>
        <sz val="10"/>
        <rFont val="Calibri"/>
        <family val="2"/>
      </rPr>
      <t>De Desempeño:</t>
    </r>
    <r>
      <rPr>
        <sz val="10"/>
        <rFont val="Calibri"/>
        <family val="2"/>
      </rPr>
      <t xml:space="preserve"> Identifica y desarrolla ejercicios preventivos para fortalecer el sistema Oste Artro Muscular. 
</t>
    </r>
    <r>
      <rPr>
        <b/>
        <sz val="10"/>
        <rFont val="Calibri"/>
        <family val="2"/>
      </rPr>
      <t>De Producto:</t>
    </r>
    <r>
      <rPr>
        <sz val="10"/>
        <rFont val="Calibri"/>
        <family val="2"/>
      </rPr>
      <t xml:space="preserve"> Plan de ejercicios y actividades para pausas activas y según contexto laboral. </t>
    </r>
  </si>
  <si>
    <t>Guía de formación, video beam o Smart tv, computador portátil, materiales deportivos, lazos, step, pelotas para pilates, bosu ball, TRX, colchonetas, bandas elásticas, bastones, balones de espuma, balones medicinales, balones de rebote, aros, pelotas de tenis, pimpones.</t>
  </si>
  <si>
    <t>Presentar un proceso para la realización de una actividad en su quehacer laboral de acuerdo con los procedimientos establecidos desde su programa de formación.</t>
  </si>
  <si>
    <t xml:space="preserve"> Sigue instrucciones de  un  proceso relacionado  con su quehacer  laboral   
 Brinda  solución  a  un  problema  sencillo  haciendo uso de  una  adecuada  pronunciación,  fluidez,  rango   de  vocabulario  y  estructura  gramatical  para  el  nivel pre intermedio</t>
  </si>
  <si>
    <t>AA08 Grabar un video presentando un proceso para la realización de una actividad en su quehacer laboral de    acuerdo  con  los  procedimientos  establecidos  desde  su  programa  de  formación.</t>
  </si>
  <si>
    <r>
      <rPr>
        <b/>
        <sz val="10"/>
        <rFont val="Calibri"/>
        <family val="2"/>
      </rPr>
      <t>De conocimiento:</t>
    </r>
    <r>
      <rPr>
        <sz val="10"/>
        <rFont val="Calibri"/>
        <family val="2"/>
      </rPr>
      <t xml:space="preserve"> Reconoce expresiones básicas para comunicarse en su ambiente laboral cotidiano en inglés.                                                                                                                                                                                      </t>
    </r>
    <r>
      <rPr>
        <b/>
        <sz val="10"/>
        <rFont val="Calibri"/>
        <family val="2"/>
      </rPr>
      <t>De desempeño</t>
    </r>
    <r>
      <rPr>
        <sz val="10"/>
        <rFont val="Calibri"/>
        <family val="2"/>
      </rPr>
      <t xml:space="preserve">: Presenta una actividad común en su quehacer cotidiano  con los procedimientos establecidos                                                                                                                                                                                                         </t>
    </r>
    <r>
      <rPr>
        <b/>
        <sz val="10"/>
        <rFont val="Calibri"/>
        <family val="2"/>
      </rPr>
      <t>De producto</t>
    </r>
    <r>
      <rPr>
        <sz val="10"/>
        <rFont val="Calibri"/>
        <family val="2"/>
      </rPr>
      <t>: Desarrolla un texto corto  utilizando las expresiones pertinentes para describir procesos de su contexto laboral específico.</t>
    </r>
  </si>
  <si>
    <t>Taller
Formulación de preguntas</t>
  </si>
  <si>
    <t>Guía de aprendizaje. Implementos para recrear contextos laborales: escritorios, documentos, accesorios de decoración y todos los que sean necesarios. Cámaras de video o celulares para hacer la grabación.</t>
  </si>
  <si>
    <t>Explicar las funciones de su ocupación laboral usando expresiones de acuerdo al nivel requerido por el programa de formación.</t>
  </si>
  <si>
    <t xml:space="preserve"> Hace uso  de  términos  y  expresiones  relacionadas  con  su  ámbito  laboral  específico. </t>
  </si>
  <si>
    <t>AA09 Representar   una situación común al ambiente laboral a través de una escena teatral corta con una situación y unos personajes determinados</t>
  </si>
  <si>
    <r>
      <rPr>
        <b/>
        <sz val="10"/>
        <rFont val="Calibri"/>
        <family val="2"/>
      </rPr>
      <t>De conocimiento:</t>
    </r>
    <r>
      <rPr>
        <sz val="10"/>
        <rFont val="Calibri"/>
        <family val="2"/>
      </rPr>
      <t xml:space="preserve"> Reconoce expresiones básicas para comunicarse en su ambiente laboral cotidiano en inglés.                                                                                                                                                                                      </t>
    </r>
    <r>
      <rPr>
        <b/>
        <sz val="10"/>
        <rFont val="Calibri"/>
        <family val="2"/>
      </rPr>
      <t>De desempeño:</t>
    </r>
    <r>
      <rPr>
        <sz val="10"/>
        <rFont val="Calibri"/>
        <family val="2"/>
      </rPr>
      <t xml:space="preserve"> Representar   una situación común al ambiente laboral a través de una escena teatral que incluya cuatro personajes                                                                                                                                     </t>
    </r>
    <r>
      <rPr>
        <b/>
        <sz val="10"/>
        <rFont val="Calibri"/>
        <family val="2"/>
      </rPr>
      <t>De producto:</t>
    </r>
    <r>
      <rPr>
        <sz val="10"/>
        <rFont val="Calibri"/>
        <family val="2"/>
      </rPr>
      <t xml:space="preserve"> Desarrolla un diálogo utilizando las expresiones pertinentes para su contexto laboral específico.</t>
    </r>
  </si>
  <si>
    <t>Construcción del software</t>
  </si>
  <si>
    <t>Planear actividades de construcción del software de acuerdo con el diseño establecido.
60</t>
  </si>
  <si>
    <t xml:space="preserve">• Interpreta el informe de diseño para definir el plan de trabajo en la construcción del software.
• Selecciona y configura herramientas de desarrollo de acuerdo con las condiciones del software a construir.
</t>
  </si>
  <si>
    <t xml:space="preserve">AA01 Interpretar informe de diseño </t>
  </si>
  <si>
    <r>
      <rPr>
        <b/>
        <sz val="10"/>
        <rFont val="Arial"/>
        <family val="2"/>
      </rPr>
      <t>Evidencias de Conocimiento:</t>
    </r>
    <r>
      <rPr>
        <sz val="10"/>
        <rFont val="Arial"/>
        <family val="2"/>
      </rPr>
      <t xml:space="preserve">
Prueba de conocimiento sobre principios y conceptos de O.O.
(Cuestionario)
</t>
    </r>
    <r>
      <rPr>
        <b/>
        <sz val="10"/>
        <rFont val="Arial"/>
        <family val="2"/>
      </rPr>
      <t>Evidencias de Desempeño:</t>
    </r>
    <r>
      <rPr>
        <sz val="10"/>
        <rFont val="Arial"/>
        <family val="2"/>
      </rPr>
      <t xml:space="preserve">
Verificación de procedimientos para la definición de plataformas de desarrollo O.O
(Listas de chequeo).
</t>
    </r>
    <r>
      <rPr>
        <b/>
        <sz val="10"/>
        <rFont val="Arial"/>
        <family val="2"/>
      </rPr>
      <t>Evidencias de Producto:</t>
    </r>
    <r>
      <rPr>
        <sz val="10"/>
        <rFont val="Arial"/>
        <family val="2"/>
      </rPr>
      <t xml:space="preserve"> 
Instalación y configuración de plataformas para desarrollo O.O
(Listas de chequeo).
</t>
    </r>
  </si>
  <si>
    <t>Mesas técnicas para la interpretación de informe de diseño.</t>
  </si>
  <si>
    <t>Guia 32 git lab</t>
  </si>
  <si>
    <t>Trimestre 5</t>
  </si>
  <si>
    <t>AA02 Seleccionar herramientas de desarrollo</t>
  </si>
  <si>
    <t>AA03 Configurar herramientas de desarrollo</t>
  </si>
  <si>
    <t>• Selecciona y configura herramientas de versionamiento para el control de cambios en el código.
• Define estándares de codificación de acuerdo con las reglas de la plataforma de desarrollo seleccionada.</t>
  </si>
  <si>
    <t>AA04 Seleccionar herramientas de versionamiento</t>
  </si>
  <si>
    <r>
      <rPr>
        <b/>
        <sz val="10"/>
        <rFont val="Arial"/>
        <family val="2"/>
      </rPr>
      <t>Evidencias de Conocimiento:</t>
    </r>
    <r>
      <rPr>
        <sz val="10"/>
        <rFont val="Arial"/>
        <family val="2"/>
      </rPr>
      <t xml:space="preserve">
Prueba de conocimiento sobre principios y conceptos de herramientas de versionamiento y estándares de codificación
(Cuestionario).
</t>
    </r>
    <r>
      <rPr>
        <b/>
        <sz val="10"/>
        <rFont val="Arial"/>
        <family val="2"/>
      </rPr>
      <t>Evidencias de Desempeño:</t>
    </r>
    <r>
      <rPr>
        <sz val="10"/>
        <rFont val="Arial"/>
        <family val="2"/>
      </rPr>
      <t xml:space="preserve">
Verificación de procedimientos para la definición de herramientas de versionamiento y estándares de codificación
(Listas de Chequeo).
</t>
    </r>
    <r>
      <rPr>
        <b/>
        <sz val="10"/>
        <rFont val="Arial"/>
        <family val="2"/>
      </rPr>
      <t>Evidencias de Producto:</t>
    </r>
    <r>
      <rPr>
        <sz val="10"/>
        <rFont val="Arial"/>
        <family val="2"/>
      </rPr>
      <t xml:space="preserve"> 
* Instalación y configuración de herramientas de versionamiento.
* Plantilla para estándar de codificación
(Listas de Chequeo)
</t>
    </r>
  </si>
  <si>
    <t>Mesas técnicas para la selección y configuración de herramientas de versionamiento y creación de estándar de codificación.</t>
  </si>
  <si>
    <t>AA05 Configurar herramientas de versionamiento</t>
  </si>
  <si>
    <t>AA06 Definir estándares de codificación</t>
  </si>
  <si>
    <t>Ingracion Continua</t>
  </si>
  <si>
    <t>Codificar el software de acuerdo con el diseño establecido.
600</t>
  </si>
  <si>
    <t>• Codifica los módulos del software stand-alone, web y móvil, de acuerdo con las especificaciones del diseño y el estándar de codificación.</t>
  </si>
  <si>
    <t>AA07 Aplicar estándares de codificación</t>
  </si>
  <si>
    <r>
      <rPr>
        <b/>
        <sz val="10"/>
        <rFont val="Arial"/>
        <family val="2"/>
      </rPr>
      <t>Evidencias de Conocimiento:</t>
    </r>
    <r>
      <rPr>
        <sz val="10"/>
        <rFont val="Arial"/>
        <family val="2"/>
      </rPr>
      <t xml:space="preserve">
Prueba de conocimiento sobre principios y conceptos de codificación en plataformas O.O (Cuestionario).
</t>
    </r>
    <r>
      <rPr>
        <b/>
        <sz val="10"/>
        <rFont val="Arial"/>
        <family val="2"/>
      </rPr>
      <t>Evidencias de Desempeño:</t>
    </r>
    <r>
      <rPr>
        <sz val="10"/>
        <rFont val="Arial"/>
        <family val="2"/>
      </rPr>
      <t xml:space="preserve">
Verificación de procedimientos en la codificación de los módulos del software O.O (Listas de Chequeo).
</t>
    </r>
    <r>
      <rPr>
        <b/>
        <sz val="10"/>
        <rFont val="Arial"/>
        <family val="2"/>
      </rPr>
      <t xml:space="preserve">Evidencias de Producto: </t>
    </r>
    <r>
      <rPr>
        <sz val="10"/>
        <rFont val="Arial"/>
        <family val="2"/>
      </rPr>
      <t xml:space="preserve">
* Módulos codificados y controlados en GIT (Listas de Chequeo).
</t>
    </r>
  </si>
  <si>
    <t>Workshop para aplicación de estándar de codificación</t>
  </si>
  <si>
    <t>Python mvc con Flask y SQLAlchemy Guía 43</t>
  </si>
  <si>
    <t>AA08 Codificar los módulos del software stand-alone, web y móvil</t>
  </si>
  <si>
    <t>Workshop para la codificación de los módulos del software</t>
  </si>
  <si>
    <t>• Crea servicios web para disponer de métodos reutilizables en el software.</t>
  </si>
  <si>
    <t>AA09 Crear servicios web</t>
  </si>
  <si>
    <r>
      <rPr>
        <b/>
        <sz val="10"/>
        <rFont val="Arial"/>
        <family val="2"/>
      </rPr>
      <t>Evidencias de Conocimiento:</t>
    </r>
    <r>
      <rPr>
        <sz val="10"/>
        <rFont val="Arial"/>
        <family val="2"/>
      </rPr>
      <t xml:space="preserve">
Prueba de conocimiento sobre principios y conceptos de codificación en plataformas O.O (Cuestionario).
</t>
    </r>
    <r>
      <rPr>
        <b/>
        <sz val="10"/>
        <rFont val="Arial"/>
        <family val="2"/>
      </rPr>
      <t>Evidencias de Desempeño:</t>
    </r>
    <r>
      <rPr>
        <sz val="10"/>
        <rFont val="Arial"/>
        <family val="2"/>
      </rPr>
      <t xml:space="preserve">
Verificación de procedimientos en la codificación de los módulos del software O.O (Listas de Chequeo).
</t>
    </r>
    <r>
      <rPr>
        <b/>
        <sz val="10"/>
        <rFont val="Arial"/>
        <family val="2"/>
      </rPr>
      <t>Evidencias de Producto:</t>
    </r>
    <r>
      <rPr>
        <sz val="10"/>
        <rFont val="Arial"/>
        <family val="2"/>
      </rPr>
      <t xml:space="preserve"> 
* Módulos codificados y controlados en GIT (Listas de Chequeo).</t>
    </r>
  </si>
  <si>
    <t>Workshop para la creación de servicios web</t>
  </si>
  <si>
    <t>Trimestre 6</t>
  </si>
  <si>
    <t>• Integra los módulos del software de acuerdo con los propósitos del sistema.</t>
  </si>
  <si>
    <t>AA10 Integrar módulos</t>
  </si>
  <si>
    <r>
      <rPr>
        <b/>
        <sz val="10"/>
        <rFont val="Arial"/>
        <family val="2"/>
      </rPr>
      <t>Evidencias de Conocimiento:</t>
    </r>
    <r>
      <rPr>
        <sz val="10"/>
        <rFont val="Arial"/>
        <family val="2"/>
      </rPr>
      <t xml:space="preserve">
Prueba de conocimiento sobre principios y conceptos de integración, tecnologías emergentes y disruptivas.
</t>
    </r>
    <r>
      <rPr>
        <b/>
        <sz val="10"/>
        <rFont val="Arial"/>
        <family val="2"/>
      </rPr>
      <t>Evidencias de Desempeño:</t>
    </r>
    <r>
      <rPr>
        <sz val="10"/>
        <rFont val="Arial"/>
        <family val="2"/>
      </rPr>
      <t xml:space="preserve">
Verificación de procedimientos de los procesos de integración, uso de tecnologías emergentes y disruptivas (Listas de Chequeo).
</t>
    </r>
    <r>
      <rPr>
        <b/>
        <sz val="10"/>
        <rFont val="Arial"/>
        <family val="2"/>
      </rPr>
      <t>Evidencias de Producto:</t>
    </r>
    <r>
      <rPr>
        <sz val="10"/>
        <rFont val="Arial"/>
        <family val="2"/>
      </rPr>
      <t xml:space="preserve"> 
* Módulos integrados (Listas de Chequeo).
</t>
    </r>
  </si>
  <si>
    <t>Práctica guiada de integración de módulos.</t>
  </si>
  <si>
    <t>• Incorpora tecnologías emergentes y disruptivas de acuerdo con los propósitos del software.</t>
  </si>
  <si>
    <t>AA11 Incorporar tecnologías emergentes y disruptivas</t>
  </si>
  <si>
    <t>Caso de estudio:"Aplicación de tecnologías emergentes y disruptivas".</t>
  </si>
  <si>
    <t>Realizar pruebas al software para verificar su  funcionalidad.</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</si>
  <si>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</si>
  <si>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AA12 Realizar plan de pruebas</t>
  </si>
  <si>
    <r>
      <rPr>
        <b/>
        <sz val="10"/>
        <rFont val="Arial"/>
        <family val="2"/>
      </rPr>
      <t>Evidencias de Conocimiento:</t>
    </r>
    <r>
      <rPr>
        <sz val="10"/>
        <rFont val="Arial"/>
        <family val="2"/>
      </rPr>
      <t xml:space="preserve">
Prueba de conocimiento sobre principios y conceptos de pruebas de software - ISTQB (Cuestionario).
</t>
    </r>
    <r>
      <rPr>
        <b/>
        <sz val="10"/>
        <rFont val="Arial"/>
        <family val="2"/>
      </rPr>
      <t>Evidencias de Desempeño:</t>
    </r>
    <r>
      <rPr>
        <sz val="10"/>
        <rFont val="Arial"/>
        <family val="2"/>
      </rPr>
      <t xml:space="preserve">
Verificación de procedimientos de los procesos para seguimiento al plan de pruebas (Listas de Chequeo).
</t>
    </r>
    <r>
      <rPr>
        <b/>
        <sz val="10"/>
        <rFont val="Arial"/>
        <family val="2"/>
      </rPr>
      <t xml:space="preserve">Evidencias de Producto: </t>
    </r>
    <r>
      <rPr>
        <sz val="10"/>
        <rFont val="Arial"/>
        <family val="2"/>
      </rPr>
      <t xml:space="preserve">
*Ejecución del plan de pruebas (Listas de Chequeo).
</t>
    </r>
  </si>
  <si>
    <t>Guia 35 Pruebas de software</t>
  </si>
  <si>
    <t>AA13 Definir casos de prueba</t>
  </si>
  <si>
    <t>AA14 Definir ambiente de prueba</t>
  </si>
  <si>
    <t>AA15 Realizar pruebas</t>
  </si>
  <si>
    <t>AA16 Documentar las pruebas</t>
  </si>
  <si>
    <t>Protección para la Salud y el Medio Ambiente</t>
  </si>
  <si>
    <t>Realizar seguimiento y acompañamiento al desarrollo de los planes y programas ambientales y SST, según el  área de desempeño.</t>
  </si>
  <si>
    <t>Determina acciones para orientar a su equipo de trabajo en los planes y programas ambientales y de SST según políticas de la organización</t>
  </si>
  <si>
    <t>AA17 Diseñar un plan de Emergencia según su contexto laboral.</t>
  </si>
  <si>
    <r>
      <rPr>
        <b/>
        <sz val="10"/>
        <rFont val="Calibri"/>
        <family val="2"/>
      </rPr>
      <t xml:space="preserve">De conocimiento:  </t>
    </r>
    <r>
      <rPr>
        <sz val="10"/>
        <rFont val="Calibri"/>
        <family val="2"/>
      </rPr>
      <t xml:space="preserve"> conceptualiza y reconoce los principales elementos que se deben tener en cuenta en las emergecias acuerdo a su contexto laboral.                                                                                                                                                                                      </t>
    </r>
    <r>
      <rPr>
        <b/>
        <sz val="10"/>
        <rFont val="Calibri"/>
        <family val="2"/>
      </rPr>
      <t>De Desempeño:</t>
    </r>
    <r>
      <rPr>
        <sz val="10"/>
        <rFont val="Calibri"/>
        <family val="2"/>
      </rPr>
      <t xml:space="preserve">  participación  activa de las diferentes actividades propuestas.                                                                                                                                                                                                                               </t>
    </r>
    <r>
      <rPr>
        <b/>
        <sz val="10"/>
        <rFont val="Calibri"/>
        <family val="2"/>
      </rPr>
      <t xml:space="preserve">De Producto: </t>
    </r>
    <r>
      <rPr>
        <sz val="10"/>
        <rFont val="Calibri"/>
        <family val="2"/>
      </rPr>
      <t xml:space="preserve"> Protocolo  para la atención de las emergencias de acuerdo a su contexto laboral</t>
    </r>
  </si>
  <si>
    <t>Conversatorio
Creación de medios</t>
  </si>
  <si>
    <t xml:space="preserve"> Materiales. Listas de verificación, sonido, guia de aprendizaje, referencia bibliografica, LEY 1523 DE 2012 y decreto 1072 de 2015.</t>
  </si>
  <si>
    <t>Proponer acciones de mejora para el manejo ambiental y el control de la SST, de acuerdo con estrategias de trabajo, colaborativo, cooperativo y coordinado en el contexto productivo y social.</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</si>
  <si>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</si>
  <si>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AA18 Implementar medidas parala  prevención de riesgos ambientales en seguridad y salud en el trabajo.</t>
  </si>
  <si>
    <r>
      <rPr>
        <b/>
        <sz val="10"/>
        <rFont val="Calibri"/>
        <family val="2"/>
      </rPr>
      <t xml:space="preserve">De conocimiento: </t>
    </r>
    <r>
      <rPr>
        <sz val="10"/>
        <rFont val="Calibri"/>
        <family val="2"/>
      </rPr>
      <t xml:space="preserve"> Consultar los diferentes terminologias relacionado en materia de ambiente seguridad y salud en el trabajo de acuerdo a la normativa legal vigente.                                                                                                                                       Identifica los diferentes factores de riesgos ambientales y del SST, en el lugar de trabajo.                                                                                                                                                                                               </t>
    </r>
    <r>
      <rPr>
        <b/>
        <sz val="10"/>
        <rFont val="Calibri"/>
        <family val="2"/>
      </rPr>
      <t xml:space="preserve">De Desempeño: </t>
    </r>
    <r>
      <rPr>
        <sz val="10"/>
        <rFont val="Calibri"/>
        <family val="2"/>
      </rPr>
      <t xml:space="preserve">  Análisis e interpretación de la información, Demuestra interés en el desarrollo de las diferentes actividades propuestas dentro de las sesiones de clase, generando un ambiente adecuado de trabajo.                                                                                                                                                                      </t>
    </r>
    <r>
      <rPr>
        <b/>
        <sz val="10"/>
        <rFont val="Calibri"/>
        <family val="2"/>
      </rPr>
      <t xml:space="preserve">De Producto: </t>
    </r>
    <r>
      <rPr>
        <sz val="10"/>
        <rFont val="Calibri"/>
        <family val="2"/>
      </rPr>
      <t xml:space="preserve"> Matriz de identificacion de riesgos.</t>
    </r>
  </si>
  <si>
    <t>Recorrido de inspección
Taller</t>
  </si>
  <si>
    <t xml:space="preserve">1. GTC 45. 2. Videos tutoriales. 3. Inspeccion . 4. Matriz de identificacion de riesgos. 5. lápices. 6.Registro fotográfico . </t>
  </si>
  <si>
    <t>EVALUACIÓN</t>
  </si>
  <si>
    <t>Adopción de buenas prácticas en el proceso de desarrollo de software.</t>
  </si>
  <si>
    <t>Incorporar actividades de aseguramiento de la calidad del software de acuerdo con estándares de la industria.
84</t>
  </si>
  <si>
    <t>• Caracteriza los procesos de desarrollo del software de acuerdo con los lineamientos de calidad establecidos.</t>
  </si>
  <si>
    <t xml:space="preserve">Caracterizar los procesos de desarrollo de software. </t>
  </si>
  <si>
    <r>
      <rPr>
        <b/>
        <sz val="11"/>
        <rFont val="Arial"/>
        <family val="2"/>
      </rPr>
      <t>Evidencias de Conocimiento:</t>
    </r>
    <r>
      <rPr>
        <sz val="11"/>
        <rFont val="Arial"/>
        <family val="2"/>
      </rPr>
      <t xml:space="preserve">
Prueba de conocimiento de procesos de desarrollo de software (Cuestionario).
</t>
    </r>
  </si>
  <si>
    <t>Caso de estudio: Caracterización de procesos de desarrollo.</t>
  </si>
  <si>
    <t xml:space="preserve">•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
</t>
  </si>
  <si>
    <t>Seleccionar buenas prácticas de calidad</t>
  </si>
  <si>
    <r>
      <rPr>
        <b/>
        <sz val="11"/>
        <rFont val="Arial"/>
        <family val="2"/>
      </rPr>
      <t>Evidencias de Conocimiento:</t>
    </r>
    <r>
      <rPr>
        <sz val="11"/>
        <rFont val="Arial"/>
        <family val="2"/>
      </rPr>
      <t xml:space="preserve">
Prueba de conocimiento de conceptos y principios en la adopción de disciplinas de software(Cuestionario).
</t>
    </r>
    <r>
      <rPr>
        <b/>
        <sz val="11"/>
        <rFont val="Arial"/>
        <family val="2"/>
      </rPr>
      <t>Evidencias de Desempeño:</t>
    </r>
    <r>
      <rPr>
        <sz val="11"/>
        <rFont val="Arial"/>
        <family val="2"/>
      </rPr>
      <t xml:space="preserve">
Adopción de prácticas documentadas en las disciplinas de calidad de software(Listas de Chequeo).
</t>
    </r>
    <r>
      <rPr>
        <b/>
        <sz val="11"/>
        <rFont val="Arial"/>
        <family val="2"/>
      </rPr>
      <t>Evidencias de Producto:</t>
    </r>
    <r>
      <rPr>
        <sz val="11"/>
        <rFont val="Arial"/>
        <family val="2"/>
      </rPr>
      <t xml:space="preserve">
Bitácoras con los procesos documentados 
(Listas de chequeo). 
</t>
    </r>
  </si>
  <si>
    <t>Workshops para apropiación de disciplinas en los procesos de desarrollo de software.</t>
  </si>
  <si>
    <t>Aplicar proceso personal de desarrollo de software.</t>
  </si>
  <si>
    <t>Trimestre 7</t>
  </si>
  <si>
    <t>Documentar proceso personal de desarrollo de software.</t>
  </si>
  <si>
    <t>Elaborar los instrumentos de procesos de aseguramiento de la calidad orientados al desarrollo de software.</t>
  </si>
  <si>
    <t>Diligenciar documentación de procesos de aseguramiento de la calidad para el software desarrollado.</t>
  </si>
  <si>
    <t>Verificar la calidad del software de acuerdo con las prácticas asociadas en los procesos de desarrollo.
30</t>
  </si>
  <si>
    <t>Evalúa comportamientos del sistema de acuerdo con los requisitos no funcionales del software.</t>
  </si>
  <si>
    <t>Evaluar comportamientos del software</t>
  </si>
  <si>
    <r>
      <rPr>
        <sz val="11"/>
        <rFont val="Arial"/>
        <family val="2"/>
      </rPr>
      <t xml:space="preserve">
</t>
    </r>
    <r>
      <rPr>
        <b/>
        <sz val="11"/>
        <rFont val="Arial"/>
        <family val="2"/>
      </rPr>
      <t>Evidencias de Desempeño:</t>
    </r>
    <r>
      <rPr>
        <sz val="11"/>
        <rFont val="Arial"/>
        <family val="2"/>
      </rPr>
      <t xml:space="preserve">
Creación de informe con los resultados del comportamiento del software.
</t>
    </r>
    <r>
      <rPr>
        <b/>
        <sz val="11"/>
        <rFont val="Arial"/>
        <family val="2"/>
      </rPr>
      <t>Evidencias de Producto:</t>
    </r>
    <r>
      <rPr>
        <sz val="11"/>
        <rFont val="Arial"/>
        <family val="2"/>
      </rPr>
      <t xml:space="preserve">
Bitácora de lecciones aprendidas. 
(Listas de chequeo). 
</t>
    </r>
  </si>
  <si>
    <t>Mesas técnicas para valoración de los componentes de calidad.</t>
  </si>
  <si>
    <t>Elabora informe de evaluación de la calidad de acuerdo con los resultados de la verificación.</t>
  </si>
  <si>
    <t>Elaborar informe de evaluación de la calidad.</t>
  </si>
  <si>
    <t>Crea bitácora de lecciones aprendidas a partir de los resultados de la verificación del software.</t>
  </si>
  <si>
    <t>Crear bitácora de lecciones aprendidas.</t>
  </si>
  <si>
    <t>Realizar actividades de mejora de la calidad del software a partir de los resultados de la verificación.</t>
  </si>
  <si>
    <t>Ajusta procesos del desarrollo de software de acuerdo con el referente de calidad adoptado.</t>
  </si>
  <si>
    <t>Ajustar procesos del desarrollo de software.</t>
  </si>
  <si>
    <r>
      <rPr>
        <sz val="11"/>
        <rFont val="Arial"/>
        <family val="2"/>
      </rPr>
      <t xml:space="preserve">
</t>
    </r>
    <r>
      <rPr>
        <b/>
        <sz val="11"/>
        <rFont val="Arial"/>
        <family val="2"/>
      </rPr>
      <t>Evidencias de Desempeño:</t>
    </r>
    <r>
      <rPr>
        <sz val="11"/>
        <rFont val="Arial"/>
        <family val="2"/>
      </rPr>
      <t xml:space="preserve">
Sustentación de ajustes en los procesos de desarrollo (Lista de chequeo).
</t>
    </r>
    <r>
      <rPr>
        <b/>
        <sz val="11"/>
        <rFont val="Arial"/>
        <family val="2"/>
      </rPr>
      <t>Evidencias de Producto:</t>
    </r>
    <r>
      <rPr>
        <sz val="11"/>
        <rFont val="Arial"/>
        <family val="2"/>
      </rPr>
      <t xml:space="preserve">
Verificaciones de condiciones de calidad del producto de software ajustado. 
(Listas de chequeo). </t>
    </r>
  </si>
  <si>
    <t>Mesas técnicas para la implementación de acciones de mejora</t>
  </si>
  <si>
    <t>Determina las acciones correctivas, preventivas y de mejoramiento de acuerdo con los resultados de la evaluación.</t>
  </si>
  <si>
    <t>Determinar las acciones correctivas, preventivas y de mejoramiento del software.</t>
  </si>
  <si>
    <t>Cultura Emprendedora y Empresarial</t>
  </si>
  <si>
    <t xml:space="preserve">Integrar elementos de la cultura emprendedora teniendo en cuenta el perfil personal y el contexto de desarrollo social
</t>
  </si>
  <si>
    <t xml:space="preserve">Aplica acciones de emprendimiento de acuerdo con los elementos de desarrollo social y personal </t>
  </si>
  <si>
    <t xml:space="preserve">Identificar los conceptos básicos, generalidades, características, tipos, habilidades y perfil del emprendedor.  </t>
  </si>
  <si>
    <r>
      <rPr>
        <b/>
        <sz val="10"/>
        <rFont val="Calibri"/>
        <family val="2"/>
      </rPr>
      <t>De Conocimiento:</t>
    </r>
    <r>
      <rPr>
        <sz val="10"/>
        <rFont val="Calibri"/>
        <family val="2"/>
      </rPr>
      <t xml:space="preserve"> Conceptualiza y reconoce los principios de emprendimiento, características, tipos, habilidades y perfil del emprendedor.  (Cuestionario)
</t>
    </r>
    <r>
      <rPr>
        <b/>
        <sz val="10"/>
        <rFont val="Calibri"/>
        <family val="2"/>
      </rPr>
      <t>De Desempeño:</t>
    </r>
    <r>
      <rPr>
        <sz val="10"/>
        <rFont val="Calibri"/>
        <family val="2"/>
      </rPr>
      <t xml:space="preserve"> Ejecuta actividades individuales y grupales que le permitan apropiar los conocimientos  y relacionarlos al entorno. (Lista de chequeo).
</t>
    </r>
    <r>
      <rPr>
        <b/>
        <sz val="10"/>
        <rFont val="Calibri"/>
        <family val="2"/>
      </rPr>
      <t>De Producto:</t>
    </r>
    <r>
      <rPr>
        <sz val="10"/>
        <rFont val="Calibri"/>
        <family val="2"/>
      </rPr>
      <t xml:space="preserve"> Elaboración y proyección de cartelera sobre emprendimiento y espíritu emprendedor. (Lista de chequeo).</t>
    </r>
  </si>
  <si>
    <t>Análisis de casos
Taller</t>
  </si>
  <si>
    <t>Cajas de plastilina 
10 Marcadores Borrables
10 pliego de papel periódico</t>
  </si>
  <si>
    <t>Instructor emprendimiento</t>
  </si>
  <si>
    <t>Caracterizar la idea de negocio teniendo en cuenta las oportunidades y necesidades del sector productivo y social</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</si>
  <si>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</si>
  <si>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Analiza una problemática y propone una Idea de negocio creativa, factible y con innovación incremental, relacionada con su programa académico.</t>
  </si>
  <si>
    <r>
      <rPr>
        <b/>
        <sz val="10"/>
        <rFont val="Calibri"/>
        <family val="2"/>
      </rPr>
      <t>De Conocimiento:</t>
    </r>
    <r>
      <rPr>
        <sz val="10"/>
        <rFont val="Calibri"/>
        <family val="2"/>
      </rPr>
      <t xml:space="preserve"> Conceptos sobre Ideación, metodologías, técnicas y herramientas, problema, alternativas creativas de solución, ideas y oportunidades de negocio y modelaje de ideas. (Cuestionario)
</t>
    </r>
    <r>
      <rPr>
        <b/>
        <sz val="10"/>
        <rFont val="Calibri"/>
        <family val="2"/>
      </rPr>
      <t>De Desempeño:</t>
    </r>
    <r>
      <rPr>
        <sz val="10"/>
        <rFont val="Calibri"/>
        <family val="2"/>
      </rPr>
      <t xml:space="preserve"> Identificar ideas de negocio en situaciones de nuestra cotidianidad.  (Lista de chequeo).
</t>
    </r>
    <r>
      <rPr>
        <b/>
        <sz val="10"/>
        <rFont val="Calibri"/>
        <family val="2"/>
      </rPr>
      <t>De Producto:</t>
    </r>
    <r>
      <rPr>
        <sz val="10"/>
        <rFont val="Calibri"/>
        <family val="2"/>
      </rPr>
      <t xml:space="preserve"> Crear modelo Canvas de su idea de negocio. (Lista de chequeo).</t>
    </r>
  </si>
  <si>
    <t>Fichas o tarjeta
Taller- Matriz Canvas</t>
  </si>
  <si>
    <t xml:space="preserve">Marcadores Borrables
Poss-it
Matriz de Filtro de ideas (Anexo 01)
Papel 
</t>
  </si>
  <si>
    <t xml:space="preserve">240201525 - 3
Estructurar el plan de negocio de acuerdo con las características empresariales y tendencias de mercado
</t>
  </si>
  <si>
    <t xml:space="preserve">Determina grupos focales de mercado de acuerdo con la idea de negocio 
Integra elementos básicos de investigación de acuerdo con las necesidades descriptivas del plan de negocio </t>
  </si>
  <si>
    <t xml:space="preserve">Identifica las tendencias del mercado, el cliente, sus necesidades, los requerimientos técnicos, tecnológicos y humanos, y la estrategia de Marketing para el desarrollo de su idea de negocio. </t>
  </si>
  <si>
    <r>
      <rPr>
        <b/>
        <sz val="10"/>
        <rFont val="Calibri"/>
        <family val="2"/>
      </rPr>
      <t>De conocimiento:</t>
    </r>
    <r>
      <rPr>
        <sz val="10"/>
        <rFont val="Calibri"/>
        <family val="2"/>
      </rPr>
      <t xml:space="preserve"> Conceptos sobre Mercados, características productividad, áreas funcionales, formalización, estructura operacional, infraestructura física, requerimientos técnicos, tecnológicos y humanos.  (Cuestionario)
</t>
    </r>
    <r>
      <rPr>
        <b/>
        <sz val="10"/>
        <rFont val="Calibri"/>
        <family val="2"/>
      </rPr>
      <t>De Desempeño:</t>
    </r>
    <r>
      <rPr>
        <sz val="10"/>
        <rFont val="Calibri"/>
        <family val="2"/>
      </rPr>
      <t xml:space="preserve"> Identificar las tendencias del mercado, el cliente y  sus necesidades (Lista de chequeo).
</t>
    </r>
    <r>
      <rPr>
        <b/>
        <sz val="10"/>
        <rFont val="Calibri"/>
        <family val="2"/>
      </rPr>
      <t>De Producto:</t>
    </r>
    <r>
      <rPr>
        <sz val="10"/>
        <rFont val="Calibri"/>
        <family val="2"/>
      </rPr>
      <t xml:space="preserve"> Plan de Negocio.  (Lista de chequeo).</t>
    </r>
  </si>
  <si>
    <t>Encuesta
Análisis de casos
Taller</t>
  </si>
  <si>
    <t xml:space="preserve">Marcadores Borrables
Papel </t>
  </si>
  <si>
    <t>240201525 - 4
Valorar  la  propuesta  de  negocio  conforme  con  su  estructura  y  necesidades  del  sector productivo y social</t>
  </si>
  <si>
    <t>Determina el impacto del plan de negocio conforme con las atribuciones y dinámicas del sector productivo 
Argumenta la idea de negocio conforme con la propuesta y necesidades del sector productivo.</t>
  </si>
  <si>
    <t xml:space="preserve">Presenta documento con: Informe financiero, análisis de riesgo y resumen ejecutivo; y realiza presentación del plan de negocio con formato Pitch  </t>
  </si>
  <si>
    <r>
      <rPr>
        <b/>
        <sz val="10"/>
        <rFont val="Calibri"/>
        <family val="2"/>
      </rPr>
      <t xml:space="preserve">De conocimiento: </t>
    </r>
    <r>
      <rPr>
        <sz val="10"/>
        <rFont val="Calibri"/>
        <family val="2"/>
      </rPr>
      <t xml:space="preserve">Conceptos sobre Planeación estratégica, Gestión empresarial, niveles, estructura,  control y  evaluación (Cuestionario)
</t>
    </r>
    <r>
      <rPr>
        <b/>
        <sz val="10"/>
        <rFont val="Calibri"/>
        <family val="2"/>
      </rPr>
      <t xml:space="preserve">De Desempeño: </t>
    </r>
    <r>
      <rPr>
        <sz val="10"/>
        <rFont val="Calibri"/>
        <family val="2"/>
      </rPr>
      <t xml:space="preserve">Identificar los riesgos y estados financieros (Lista de chequeo).
</t>
    </r>
    <r>
      <rPr>
        <b/>
        <sz val="10"/>
        <rFont val="Calibri"/>
        <family val="2"/>
      </rPr>
      <t>De Producto:</t>
    </r>
    <r>
      <rPr>
        <sz val="10"/>
        <rFont val="Calibri"/>
        <family val="2"/>
      </rPr>
      <t xml:space="preserve"> Presentación Pitch y Plan de Negocio.  (Lista de chequeo).</t>
    </r>
  </si>
  <si>
    <t>Implantación del software.</t>
  </si>
  <si>
    <t>Planear actividades de implantación del software de acuerdo con las condiciones de la solución informática.</t>
  </si>
  <si>
    <t>Prepara la plataforma tecnológica, con base en las características del sistema operativo seleccionado.</t>
  </si>
  <si>
    <t xml:space="preserve">Preparar la plataforma tecnológica </t>
  </si>
  <si>
    <r>
      <rPr>
        <b/>
        <sz val="11"/>
        <rFont val="Arial"/>
        <family val="2"/>
      </rPr>
      <t>Evidencias de Conocimiento:</t>
    </r>
    <r>
      <rPr>
        <sz val="11"/>
        <rFont val="Arial"/>
        <family val="2"/>
      </rPr>
      <t xml:space="preserve">
Prueba de conocimiento de conceptos y principios para la implantación del software (Cuestionario).
</t>
    </r>
    <r>
      <rPr>
        <b/>
        <sz val="11"/>
        <rFont val="Arial"/>
        <family val="2"/>
      </rPr>
      <t>Evidencias de Desempeño:</t>
    </r>
    <r>
      <rPr>
        <sz val="11"/>
        <rFont val="Arial"/>
        <family val="2"/>
      </rPr>
      <t xml:space="preserve">
Creación del plan de implantación y migración de datos (Lista de chequeo) .
</t>
    </r>
    <r>
      <rPr>
        <b/>
        <sz val="11"/>
        <rFont val="Arial"/>
        <family val="2"/>
      </rPr>
      <t>Evidencias de Producto:</t>
    </r>
    <r>
      <rPr>
        <sz val="11"/>
        <rFont val="Arial"/>
        <family val="2"/>
      </rPr>
      <t xml:space="preserve">
Verificación del plan de implantación y migración de datos
(Listas de chequeo). </t>
    </r>
  </si>
  <si>
    <t>Mesas técnicas para planear actividades de implantación del software.</t>
  </si>
  <si>
    <t>Verifica el cumplimiento de las características mínimas de hardware requeridas para el software desarrollado</t>
  </si>
  <si>
    <t>Verificar el cumplimiento de las características mínimas de hardware requeridas para el software desarrollado.</t>
  </si>
  <si>
    <t>Diseña el plan de migración de datos de acuerdo con las condiciones de implementación</t>
  </si>
  <si>
    <t>Diseñar el plan de migración de datos</t>
  </si>
  <si>
    <t>Diseña el plan de respaldo de los datos para mitigar riesgos.</t>
  </si>
  <si>
    <t>Diseñar el plan de respaldo de los datos</t>
  </si>
  <si>
    <t>Elabora el plan de instalación de acuerdo con las características del software a implantar</t>
  </si>
  <si>
    <t>Elaborar el plan de instalación</t>
  </si>
  <si>
    <t>Desplegar el software de acuerdo con la arquitectura y las políticas establecidas.</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</si>
  <si>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</si>
  <si>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Configurar los servicios requeridos</t>
  </si>
  <si>
    <r>
      <rPr>
        <b/>
        <sz val="11"/>
        <rFont val="Arial"/>
        <family val="2"/>
      </rPr>
      <t>Evidencias de Conocimiento:</t>
    </r>
    <r>
      <rPr>
        <sz val="11"/>
        <rFont val="Arial"/>
        <family val="2"/>
      </rPr>
      <t xml:space="preserve">
Prueba de conocimiento de conceptos y principios para la configuración se servicios y carga de archivos del proyecto (Cuestionario).
</t>
    </r>
    <r>
      <rPr>
        <b/>
        <sz val="11"/>
        <rFont val="Arial"/>
        <family val="2"/>
      </rPr>
      <t>Evidencias de Desempeño:</t>
    </r>
    <r>
      <rPr>
        <sz val="11"/>
        <rFont val="Arial"/>
        <family val="2"/>
      </rPr>
      <t xml:space="preserve">
Configuración de servicios y carga de archivos del proyecto (Lista de chequeo) .
</t>
    </r>
    <r>
      <rPr>
        <b/>
        <sz val="11"/>
        <rFont val="Arial"/>
        <family val="2"/>
      </rPr>
      <t>Evidencias de Producto:</t>
    </r>
    <r>
      <rPr>
        <sz val="11"/>
        <rFont val="Arial"/>
        <family val="2"/>
      </rPr>
      <t xml:space="preserve">
Verificación de configuración de servicios y carga de los archivos del proyecto
(Listas de chequeo). </t>
    </r>
  </si>
  <si>
    <t>Workshop configuración de servicios y carga de archivos.</t>
  </si>
  <si>
    <t>Configurar el software en el servidor.</t>
  </si>
  <si>
    <t xml:space="preserve">Configurar el servidor de base de datos. </t>
  </si>
  <si>
    <t>Hacer la migración de los datos.</t>
  </si>
  <si>
    <t>Configurar permisos</t>
  </si>
  <si>
    <t>Crear usuarios y roles</t>
  </si>
  <si>
    <t>Ejecutar scripts de instalación</t>
  </si>
  <si>
    <t>Cargar archivos en el sitio de publicación</t>
  </si>
  <si>
    <t>Realizar pruebas de funcionalidad del software</t>
  </si>
  <si>
    <t>Documentar el proceso de implantación de software siguiendo estándares de calidad.</t>
  </si>
  <si>
    <t>Elabora los planes de mantenimiento y soporte para garantizar la funcionalidad del software en el tiempo.</t>
  </si>
  <si>
    <r>
      <rPr>
        <sz val="11"/>
        <rFont val="Arial"/>
        <family val="2"/>
      </rPr>
      <t xml:space="preserve">
</t>
    </r>
    <r>
      <rPr>
        <b/>
        <sz val="11"/>
        <rFont val="Arial"/>
        <family val="2"/>
      </rPr>
      <t>Evidencias de Desempeño:</t>
    </r>
    <r>
      <rPr>
        <sz val="11"/>
        <rFont val="Arial"/>
        <family val="2"/>
      </rPr>
      <t xml:space="preserve">
Creación de planes de mantenimiento del software y manuales de usuario (Lista de chequeo) .
</t>
    </r>
    <r>
      <rPr>
        <b/>
        <sz val="11"/>
        <rFont val="Arial"/>
        <family val="2"/>
      </rPr>
      <t>Evidencias de Producto:</t>
    </r>
    <r>
      <rPr>
        <sz val="11"/>
        <rFont val="Arial"/>
        <family val="2"/>
      </rPr>
      <t xml:space="preserve">
Planes de mantenimiento del software y manuales de usuario
(Listas de chequeo). </t>
    </r>
  </si>
  <si>
    <t>Mesas técnicas para la elaboración de planes de mantenimiento del software y creación de manuales de usuario.</t>
  </si>
  <si>
    <t>Documenta el plan de migración y respaldo de los datos de acuerdo con los procedimientos realizados.</t>
  </si>
  <si>
    <t>Documentar el proceso de migración y respaldo de los datos</t>
  </si>
  <si>
    <t xml:space="preserve">Elabora manuales para facilitar a los usuarios el uso y gestión del software. </t>
  </si>
  <si>
    <t>Elaborar manuales de instalación, técnico y de usuario</t>
  </si>
  <si>
    <t>Implantar el software de acuerdo con los niveles de servicio establecidos con el cliente.</t>
  </si>
  <si>
    <t>Elabora el plan de capacitación de los usuarios teniendo en cuenta las funcionalidades del software.</t>
  </si>
  <si>
    <t>Diseñar el plan de capacitación de usuarios.</t>
  </si>
  <si>
    <r>
      <rPr>
        <sz val="11"/>
        <rFont val="Arial"/>
        <family val="2"/>
      </rPr>
      <t xml:space="preserve">
</t>
    </r>
    <r>
      <rPr>
        <b/>
        <sz val="11"/>
        <rFont val="Arial"/>
        <family val="2"/>
      </rPr>
      <t>Evidencias de Desempeño:</t>
    </r>
    <r>
      <rPr>
        <sz val="11"/>
        <rFont val="Arial"/>
        <family val="2"/>
      </rPr>
      <t xml:space="preserve">
Creación de planes de capacitación de los usuarios y pruebas de aceptación(Lista de chequeo) .
</t>
    </r>
    <r>
      <rPr>
        <b/>
        <sz val="11"/>
        <rFont val="Arial"/>
        <family val="2"/>
      </rPr>
      <t>Evidencias de Producto:</t>
    </r>
    <r>
      <rPr>
        <sz val="11"/>
        <rFont val="Arial"/>
        <family val="2"/>
      </rPr>
      <t xml:space="preserve">
Planes de capacitación de los usuarios y pruebas de aceptación
(Listas de chequeo). </t>
    </r>
  </si>
  <si>
    <t>Workshop capacitación de usuarios y pruebas de aceptación</t>
  </si>
  <si>
    <t xml:space="preserve">• Capacita a los usuarios del software de acuerdo con el plan establecido.
• Ejecuta pruebas de aceptación para el cierre y entrega formal del software al cliente.
</t>
  </si>
  <si>
    <t xml:space="preserve">Capacitar a los usuarios y realizar pruebas de aceptación.
</t>
  </si>
  <si>
    <t>• Elabora el acta de entrega de acuerdo con los niveles de servicio  establecidos con el cliente.</t>
  </si>
  <si>
    <t>Elaborar acta de entrega</t>
  </si>
  <si>
    <t xml:space="preserve">Interactuar   en   lengua   inglesa   de   forma   oral   y   escrita   dentro   de     contextos   sociales   y   laborales   según   los   criterios   establecidos   por  el   Marco   Común   Europeo   de   Referencia   para   las   Lenguas   </t>
  </si>
  <si>
    <t>Implementar acciones de mejora relacionadas con el uso de expresiones, estructuras y desempeño según los resultados de aprendizaje formulados para el programa.</t>
  </si>
  <si>
    <t xml:space="preserve">Hace uso  de  vocabulario  relacionado  con  familia,  aficiones  e  intereses,  trabajo, viajes  y  hechos de    actualidad,  en  textos  orales  y  escritos
Enlaza   una  serie  de  elementos  breves,  concretos  y  sencillos  para   crear  una secuencia  cohesionada    y  lineal. </t>
  </si>
  <si>
    <t>Presentar una muestra teatral corta de un lugar cotidiano: su centro de formación, el trabajo, su casa, un restaurante. En el guión  van a describir y representar a las personas, situaciones, costumbres y experiencias de vida comunes al lugar seleccionado. Cada aprendiz toma un rol y lo representa utilizando vocabulario y estructuras básicas</t>
  </si>
  <si>
    <r>
      <rPr>
        <b/>
        <sz val="10"/>
        <rFont val="Calibri"/>
        <family val="2"/>
      </rPr>
      <t>De conocimiento:</t>
    </r>
    <r>
      <rPr>
        <sz val="10"/>
        <rFont val="Calibri"/>
        <family val="2"/>
      </rPr>
      <t xml:space="preserve"> Demuestra dominio sobre los temas y vocabulario de presentación personal en el nivel de inglés para principiantes. Intercambia información acerca de la familia y los intereses. 
</t>
    </r>
    <r>
      <rPr>
        <b/>
        <sz val="10"/>
        <rFont val="Calibri"/>
        <family val="2"/>
      </rPr>
      <t xml:space="preserve">De Desempeño: </t>
    </r>
    <r>
      <rPr>
        <sz val="10"/>
        <rFont val="Calibri"/>
        <family val="2"/>
      </rPr>
      <t xml:space="preserve">Representa una muestra teatral corta en inglés utilizando las estructuras y vocabulario apropiados y con la pronunciación clara y fluida, en grupos. 
</t>
    </r>
    <r>
      <rPr>
        <b/>
        <sz val="10"/>
        <rFont val="Calibri"/>
        <family val="2"/>
      </rPr>
      <t>De Producto:</t>
    </r>
    <r>
      <rPr>
        <sz val="10"/>
        <rFont val="Calibri"/>
        <family val="2"/>
      </rPr>
      <t xml:space="preserve"> 1. Completa un formulario con información personal y laboral individualmente
  2. Escribe un gión donde incluye vocabulario y estructuras apropiadas para describir las personas, situaciones y contextos del lugar que está representando, en grupos.</t>
    </r>
  </si>
  <si>
    <t xml:space="preserve">Guía de aprendizaje. Materiales para recrear el contexto particular donde se va a desarrollar el diálogo: cartulinas, marcadores, pinturas, recortes de revistas o periódicos. Implementos para recrear contextos sociales cotidianos: manteles, floreros, loza, accesorios de decoración, y todos los que sean necesarios. </t>
  </si>
  <si>
    <t>Ejercer los derechos fundamentales del trabajo de acuerdo al reconocimiento de la dignidad.</t>
  </si>
  <si>
    <t xml:space="preserve">210201501 - 1
Valorar la importancia de la ciudadanía laboral con base en el estudio de los derechos humanos y fundamentales del trabajo.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</si>
  <si>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</si>
  <si>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Reconocer los derechos fundamentales del trabajo y su importancia en la sociedad.</t>
  </si>
  <si>
    <r>
      <rPr>
        <b/>
        <sz val="10"/>
        <rFont val="Calibri"/>
        <family val="2"/>
      </rPr>
      <t>De desempeño:</t>
    </r>
    <r>
      <rPr>
        <sz val="10"/>
        <rFont val="Calibri"/>
        <family val="2"/>
      </rPr>
      <t xml:space="preserve"> Participación en las actividades programadas
</t>
    </r>
    <r>
      <rPr>
        <b/>
        <sz val="10"/>
        <rFont val="Calibri"/>
        <family val="2"/>
      </rPr>
      <t>De producto:</t>
    </r>
    <r>
      <rPr>
        <sz val="10"/>
        <rFont val="Calibri"/>
        <family val="2"/>
      </rPr>
      <t xml:space="preserve"> Línea del tiempo sobre los derechos fundamentales del trabajo</t>
    </r>
  </si>
  <si>
    <t>Preguntas dinamizadoras
Talleres 
Mesa redonda</t>
  </si>
  <si>
    <t>Instructor de Derechos fundamentales del trabajo</t>
  </si>
  <si>
    <t xml:space="preserve">210201501 - 2
Practicar los derechos fundamentales del trabajo de acuerdo con la Constitución Política y los Convenios Internacionales.
</t>
  </si>
  <si>
    <t>Propone estrategias de solución de conflictos y negociación de acuerdo con la normativa.</t>
  </si>
  <si>
    <t>Debatir sobre  Derecho de Negociación Colectiva, agentes, reconocimiento de la asociación para resolver problemas</t>
  </si>
  <si>
    <r>
      <rPr>
        <b/>
        <sz val="10"/>
        <rFont val="Calibri"/>
        <family val="2"/>
      </rPr>
      <t xml:space="preserve">De desempeño: </t>
    </r>
    <r>
      <rPr>
        <sz val="10"/>
        <rFont val="Calibri"/>
        <family val="2"/>
      </rPr>
      <t xml:space="preserve">Participación activa en las actividades propuestas y en los debates
</t>
    </r>
    <r>
      <rPr>
        <b/>
        <sz val="10"/>
        <rFont val="Calibri"/>
        <family val="2"/>
      </rPr>
      <t>De producto:</t>
    </r>
    <r>
      <rPr>
        <sz val="10"/>
        <rFont val="Calibri"/>
        <family val="2"/>
      </rPr>
      <t xml:space="preserve"> Folleto sobre la Negociación Colectiva y mecanismos legales en la solución de conflictos laborales. (Formato a definir con cada grupo)</t>
    </r>
  </si>
  <si>
    <t>Phillips 6-6
Estudio de casos
Feria de los derechos</t>
  </si>
  <si>
    <t>210201501 - 3
Reconocer el trabajo como uno de los elementos primordiales para la movilidad social y la transformación vital.</t>
  </si>
  <si>
    <t>Evalúa los resultados de la aplicación de los mecanismos de protección para el ejercicio de la ciudadanía laboral acorde con la normativa.</t>
  </si>
  <si>
    <t>Analizar la relación entre el trabajo y el desarrollo humano</t>
  </si>
  <si>
    <r>
      <rPr>
        <b/>
        <sz val="10"/>
        <rFont val="Calibri"/>
        <family val="2"/>
      </rPr>
      <t>De producto:</t>
    </r>
    <r>
      <rPr>
        <sz val="10"/>
        <rFont val="Calibri"/>
        <family val="2"/>
      </rPr>
      <t xml:space="preserve"> Periódico Mural sobre la realidad del trabajo en Colombia</t>
    </r>
  </si>
  <si>
    <t>Presentaciones
Talleres</t>
  </si>
  <si>
    <t>210201501 - 4
Participar en acciones solidarias orientadas al ejercicio de los derechos humanos, de los pueblos y de la naturaleza.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</si>
  <si>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</si>
  <si>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Desarrollar una campaña orientada a la defensa  de los recursos naturales donde esté involucrada una comunidad</t>
  </si>
  <si>
    <r>
      <rPr>
        <b/>
        <sz val="11"/>
        <rFont val="Calibri"/>
        <family val="2"/>
      </rPr>
      <t xml:space="preserve">De producto: </t>
    </r>
    <r>
      <rPr>
        <sz val="11"/>
        <rFont val="Calibri"/>
        <family val="2"/>
        <scheme val="minor"/>
      </rPr>
      <t>Campaña audiovisual o gráfica sobre la defensa de un recurso natural en una región del país.</t>
    </r>
  </si>
  <si>
    <t xml:space="preserve">ETAPA PRACTICA </t>
  </si>
  <si>
    <t xml:space="preserve">APLICAR EN LA RESOLUCIÓN DE PROBLEMAS REALES DEL SECTOR PRODUCTIVO, LOS CONOCIMIENTOS, HABILIDADES Y DESTREZAS PERTINENTES A LAS COMPETENCIAS DEL PROGRAMA DE FORMACIÓN ASUMIENDO ESTRATEGIAS Y METODOLOGÍAS DE AUTOGESTIÓN
</t>
  </si>
  <si>
    <t>DESEMPEÑO
PRODUCTO</t>
  </si>
  <si>
    <t xml:space="preserve">Proceso  Gestión de Formación Profesional Integral
 Formato Planeación Pedagógica </t>
  </si>
  <si>
    <r>
      <t xml:space="preserve">Versión: </t>
    </r>
    <r>
      <rPr>
        <sz val="12"/>
        <rFont val="Calibri"/>
        <family val="2"/>
        <scheme val="minor"/>
      </rPr>
      <t xml:space="preserve">04 </t>
    </r>
  </si>
  <si>
    <t>INSTRUCCIONES PARA EL DILIGENCIAMIENTO DEL FORMATO</t>
  </si>
  <si>
    <t>NO IMPRIMIR</t>
  </si>
  <si>
    <t xml:space="preserve">1. Generalidades </t>
  </si>
  <si>
    <t>Fecha en que se elabora la planeación pedagógica</t>
  </si>
  <si>
    <t>Denominación del programa como aparece en el diseño curricular publicado en el aplicativo sistema de gestión académico administrativo- con estado en ejecución</t>
  </si>
  <si>
    <t>Código y versión del Programa</t>
  </si>
  <si>
    <t>Código y versión del programa como aparece en el diseño curricular publicado en el sistema de gestión académico administrativo- con estado en ejecución</t>
  </si>
  <si>
    <t>Nombre del Proyecto  ( Si es formación Titulada)</t>
  </si>
  <si>
    <t>Denominación del Proyecto como aparece en sistema de gestión académico administrativo- con estado en publicado</t>
  </si>
  <si>
    <t>Código del Proyecto ( Si es formación Titulada)</t>
  </si>
  <si>
    <t>Código del Proyecto como aparece en sistema de gestión académico administrativo- con estado en publicado</t>
  </si>
  <si>
    <t>Equipo de gestión Curricular  que elabora la planeación pedagógica</t>
  </si>
  <si>
    <t>Diligencie los  nombre del centro y regional correspondiente al Equipo de Gestión Curricular</t>
  </si>
  <si>
    <t>2. Instrucciones para diligenciar las casillas</t>
  </si>
  <si>
    <t>NOMBRE DE LA CASILLA</t>
  </si>
  <si>
    <t>INSTRUCCIONES</t>
  </si>
  <si>
    <t>TENER EN CUENTA</t>
  </si>
  <si>
    <t>Actividad de proyecto formativo  (si el programa es titulada)</t>
  </si>
  <si>
    <t>Actividad del proyecto formativo  objeto de planeación pedagógica.</t>
  </si>
  <si>
    <t xml:space="preserve">Fase de proyecto formativo  (solo titulada)	</t>
  </si>
  <si>
    <t>Fase del proyecto formativo  a la cual pertenece la actividad de proyecto.</t>
  </si>
  <si>
    <t xml:space="preserve">Competencia	</t>
  </si>
  <si>
    <t>Competencia a desarrollar durante esa actividad y fase de proyecto.</t>
  </si>
  <si>
    <t xml:space="preserve">Resultados de aprendizaje	</t>
  </si>
  <si>
    <t>Resultados de aprendizaje asociados a la competencia  a desarrollar durante esa actividad y fase de proyecto.</t>
  </si>
  <si>
    <t xml:space="preserve">Actividades de aprendizaje a desarrollar	</t>
  </si>
  <si>
    <t>Formule la (s) actividad (es) de aprendizaje en correspondencia con las actividades de proyecto.</t>
  </si>
  <si>
    <t xml:space="preserve">Duración actividad de aprendizaje (horas)	</t>
  </si>
  <si>
    <t xml:space="preserve">Horas trabajo directo	</t>
  </si>
  <si>
    <t>Horas trabajo directo con el instructor  para desarrollar la actividad.</t>
  </si>
  <si>
    <t xml:space="preserve">Horas trabajo independiente	</t>
  </si>
  <si>
    <t>Horas de trabajo independiente del aprendiz.</t>
  </si>
  <si>
    <t xml:space="preserve">Estrategias didácticas activas	</t>
  </si>
  <si>
    <t>De acuerdo a la actividad formulada describa las didácticas activas que utilizará para su ejecución.</t>
  </si>
  <si>
    <t xml:space="preserve">Ambientes de aprendizaje tipificados	</t>
  </si>
  <si>
    <t xml:space="preserve">Ambiente  de formación	</t>
  </si>
  <si>
    <t>Ambiente de aprendizaje para  desarrollar la actividad (aula, laboratorio, unidad productiva) si es virtual  el ambiente es el LMS dispuesto por el SENA.</t>
  </si>
  <si>
    <t xml:space="preserve">Materiales de formación	</t>
  </si>
  <si>
    <t xml:space="preserve">Los materiales están descritos en el proyecto formativo. Material de formación es todo recurso consumible o utilizable en el proceso de formación, recuerde citar los materiales adecuados a la modalidad virtual para este tipo de programas. </t>
  </si>
  <si>
    <t xml:space="preserve">Instructores responsables	</t>
  </si>
  <si>
    <t>número de instructores para desarrollar la actividad.</t>
  </si>
  <si>
    <t xml:space="preserve">Criterios de evaluación	</t>
  </si>
  <si>
    <t>Criterios de evaluación descritos en el programa de formación para desarrollar la competencia.</t>
  </si>
  <si>
    <t xml:space="preserve">Descripción de la evidencia de aprendizaje	</t>
  </si>
  <si>
    <t>Cite si la actividad es de producto, de desempeño o de conocimiento, según conceptos establecidos en la guía de diseño.</t>
  </si>
  <si>
    <t xml:space="preserve">Observaciones	</t>
  </si>
  <si>
    <t>diario</t>
  </si>
  <si>
    <t>semanal</t>
  </si>
  <si>
    <t>mensual</t>
  </si>
  <si>
    <t>trimestral</t>
  </si>
  <si>
    <t>31 de Junio 2025</t>
  </si>
  <si>
    <t>fin etapa lectiva</t>
  </si>
  <si>
    <t>AP01. CONTEXTUALIZAR EN LA POLITICA, FILOSOFÍA Y METODOLOGÍA INSTITUCIONAL</t>
  </si>
  <si>
    <t>AP02. DETERMINAR LAS ESPECIFICACIONES FUNCIONALES DEL SISTEMA DE INFORMACIÓN</t>
  </si>
  <si>
    <t>AP03. ESTABLECER  METODOLOGÍA DE DESARROLLO A UTILIZAR</t>
  </si>
  <si>
    <t>AP04. ESPECIFICAR EL MODELO CONCEPTUAL DEL SISTEMA DE INFORMACIÓN</t>
  </si>
  <si>
    <t>AP05. ESTRUCTURAR  LA PROPUESTA TÉCNICA DEL PROYECTO DE SOFTWARE</t>
  </si>
  <si>
    <t>AP06 ESTRUCTURAR PROCESOS LOGICOS PARA LA CONSTRUCCIÓN DE ALGORITMOS</t>
  </si>
  <si>
    <t>AP07. DETERMINAR LA ESTRUCTURA LÓGICA  Y TECNOLÓGICA DEL SISTEMA</t>
  </si>
  <si>
    <t>AP08. CONSTRUIR EL PROTOTIPO DEL SISTEMA DE INFORMACIÓN DE ACUERDO AL ANÁLISIS DE LAS CARACTERÍSTICAS FUNCIONALES Y DE CALIDAD.</t>
  </si>
  <si>
    <t>AP09. DESARROLLAR LA ESTRUCTURA DE
DATOS Y LA INTERFAZ DE USUARIO
DEL SISTEMA DE INFORMACIÓN.</t>
  </si>
  <si>
    <t>AP10. CODIFICAR LOS MÓDULOS DEL
SISTEMA DE INFORMACIÓN.</t>
  </si>
  <si>
    <t>AP11. REALIZAR ACTIVIDADES DE VERIFICACIÓN DE CALIDAD DEL SOFTWARE</t>
  </si>
  <si>
    <t>AP12. DESARROLLAR LAS TAREAS DE CONFIGURACIÓN Y PUESTA EN MARCHA DEL SISTEMA DE
INFORMACIÓN.</t>
  </si>
  <si>
    <t>AP13. DEMOSTRAR LAS COMPETENCIAS ADQUIRIDAS EN EL PROCESO DE FORMACIÓN</t>
  </si>
  <si>
    <t>Trimestre 3</t>
  </si>
  <si>
    <t>Trimestre 1</t>
  </si>
  <si>
    <t>Trimestre 2</t>
  </si>
  <si>
    <t>Identificar el desarrollo histórico del SENA.
Identificar la identidad corporativa del SENA.
Describir los elementos que conforman la imagen corporativa del SENA.
Identificar la estructura organizacional de la entidad.
Describir las normas de convivencia que regulan el comportamiento del aprendiz durante el proceso de formación.
Describir las características de la formación profesional integral del SENA.
Diferenciar las características de la oferta de programas de formación profesional integral.</t>
  </si>
  <si>
    <t>Misión, visión, historia institucional, objetivos de la formación profesional, principios éticos, valores éticos y procederes éticos.
Elementos de la imagen institucional: escudo, bandera, logo símbolo, himno, escarapelas.
Estructura organizacional del Servicio Nacional de Aprendizaje SENA, políticas de bienestar a aprendices y normas de convivencia interna: alternativas para el desarrollo de la etapa productiva.
Etapas de la formación: tipología, características, procedimiento.
Manual de convivencia, norma específica de los centros.
Formación profesional integral: concepto, principios y características.
Tipos de oferta de programas de formación profesional y sus características.
Tipos de certificado de acuerdo con la formación y duración de los programas de formación.
Desarrollo de competencias en la formación profesional integral: concepto, tipos y características.
Proyecto formativo: concepto, fases, actividades, denominación, objetivos.
Portafolio de evidencias: estructura, tipos de evidencia, formato, contenidos.
Plataformas tecnológicas SENA: tutoriales SENA, LMS, SOFIA Plus, Sistema Virtual de Aprendices (SVA), gestión contrato de aprendizaje, correo MISENA, portales, redes sociales de la entidad.
Ruta de formación: etapa lectiva, etapa práctica (alternativas), duración, características.</t>
  </si>
  <si>
    <t>Caracterizar los procesos de la organización de acuerdo con el software a construir:
Identificar procesos de la organización.
Aplicar técnicas de análisis de procesos.
Elaborar diagrama de procesos.
Recolectar información del software a construir de acuerdo con las necesidades del cliente:
Determinar las fronteras del sistema y del contexto.
Seleccionar fuentes de requisitos.
Categorizar los requisitos.
Tipificar los requisitos.
Determinar técnicas de elicitación de requisitos.
Diseñar instrumentos para recolectar información.
Aplicar instrumentos de recolección de información.
Organizar y depurar información.
Establecer los requisitos del software de acuerdo con la información recolectada:
Identificar estándares.
Redactar los requisitos.
Presentar informe de requisitos.
Validar el informe de requisitos de acuerdo con las necesidades del cliente:
Seleccionar técnicas de validación de requisitos.
Elaborar listas de chequeo para validación.
Verificar requisitos con el cliente.
Ajustar cambios de la documentación de requisitos de software.</t>
  </si>
  <si>
    <t>Caracterizar los procesos de la organización de acuerdo con el software a construir:
Teoría general de sistemas: orígenes, conceptos.
Enfoque sistémico: concepto, características, aplicación, organizaciones inteligentes.
Datos e información: conceptos de datos e información, procesamiento de datos y actividades de procesamiento de datos.
Sistemas de información: elementos, objetivos, clasificación.
Ciclo de vida del software: definición, elementos, modelos, fases y sus objetivos.
Metodologías de desarrollo: conceptos, tipos.
Procesos: definición, características, entradas, componentes, representación gráfica, procedimientos, modelo de procesos de negocio (BPM).
Recolectar información del software a construir de acuerdo con las necesidades del cliente:
Técnicas de elicitación de requisitos: técnicas de prospección, técnicas de creatividad, técnicas centradas en la documentación, técnicas de observación.
Requisitos: conceptos, requisitos funcionales y no funcionales.
Ingeniería de requisitos: análisis de requisitos, gestión de requisitos, prácticas ágiles (historias de usuarios, iteraciones, product backlog, estimaciones, storyboard).
Estadística descriptiva: definición, población, elementos y características, variables cualitativas y cuantitativas, medidas de tendencia central (media, media geométrica, mediana, moda), representación gráfica de los datos.
Fuentes de requisitos: implicados, documentación, sistemas en operación.
Tipos y buenas prácticas de documentación de requisitos:
Tipos de documentación de requisitos: lenguaje natural, modelos conceptuales, híbridos.
Buenas prácticas de documentación: NTC 1486 del ICONTEC, APA, buenas prácticas de redacción de requisitos.
Informe de requisitos: elementos del documento, IREB (International Requirements Engineering Board), estándar IEEE.
Historias de usuario: características, uso, criterios de aceptación.
Validar el informe de requisitos de acuerdo con las necesidades del cliente:
Listas de chequeo para validación de información.
Técnicas para validar requisitos: inspecciones, revisión guiada, opinión de expertos.
Versionamiento de requisitos: gestión de cambios.</t>
  </si>
  <si>
    <t>Identificar equipos TIC, tipos de software y servicios de Internet.
Disponer equipos TIC, tipos de software y servicios de Internet.
Manejar computadores, periféricos, tabletas, equipos móviles y reproductores de medios electrónicos.
Aplicar funcionalidades de sistemas operativos.
Manejar procesador de texto, hoja de cálculo, software para presentaciones, diagramación, bases de datos y programas específicos.
Utilizar motores de búsqueda, navegación, correo electrónico, transferencia de archivos, chat, listas de correos, blogs, wikis, foros web, spaces, grupos de noticias, telefonía IP, televisión IP, comprar en Internet, e-learning, marketing digital, trabajo colaborativo, computación en la nube, redes sociales y videoconferencia por Internet.
Manejar herramientas colaborativas en Internet.
Valorar resultados obtenidos.
Aplicar procesos de mejora.</t>
  </si>
  <si>
    <t>Tecnología: concepto, tipos, características.
Herramientas TIC: clases, características, usos.
Tecnologías de la información y la comunicación: concepto, componentes, características, clasificación, usos, tendencias.
Equipos y periféricos TIC:
** Computador: concepto, arquitectura, funcionamiento, tipos, características.
** Periféricos: concepto, clasificación, características, funcionamiento.
** Otros (tabletas, equipos móviles, reproductores de medios electrónicos): concepto, funcionamiento, tipos, características.
Redes de datos: concepto, conectividad, tipos, características, usos, servicios.
Software: concepto, herramientas, funciones, propiedades.
Tipos de software:
** Software de sistema (sistema operativo): concepto, clases, funciones, características, usos.
** Software de aplicación (procesador de texto, hoja de cálculo, programa de presentación, base de datos, diagramación, software específico): concepto, clases, funciones, características, usos.
** Software de desarrollo: concepto, clases, funciones, características, usos.
Internet: definición, historia, evolución, arquitectura, utilidades.
Conexión: tipos, configuración, características.
Herramientas colaborativas.
Servicios de Internet:
(Navegación, correo electrónico, transferencia de archivos, búsquedas, listas de correos, grupos de noticias, chats, blogs, wikis, foros web, spaces, redes sociales, intercambio de archivos P2P, telefonía VoIP, televisión IPTV, comprar en Internet, e-learning, marketing digital, trabajo colaborativo, computación en la nube): concepto, requerimientos, tipos, utilidades, aplicaciones, ventajas, desventajas.
Verificación de resultados: objeto, técnicas.</t>
  </si>
  <si>
    <t>Caracterizar la solución de software.
Identificar metodologías de desarrollo de software.
Seleccionar la metodología de desarrollo de software.
Establecer las actividades de la metodología seleccionada.</t>
  </si>
  <si>
    <t>Interpretar informe de requisitos.
Diagramar casos de uso.
Realizar diagramas de actividades.
Generar plantillas extendidas de casos de uso.
Construir el modelo de dominio del sistema.
Elaborar el modelo entidad–relación.
Crear informe de análisis.</t>
  </si>
  <si>
    <t>Elaborar listas de chequeo para validación.
Aplicar listas de chequeo para validación.
Evaluar informe de análisis.
Ajustar cambios de la documentación de análisis.
Realizar prototipo inicial del software.</t>
  </si>
  <si>
    <t>Solucionar problemas de lógica proposicional.
Aplicar estructuras secuenciales en la construcción de algoritmos.
Aplicar estructuras de control en la construcción de algoritmos.
Aplicar estructuras cíclicas en la construcción de algoritmos.
Construir algoritmos con funciones y procedimientos.
Construir algoritmos con arreglos.
Construir algoritmos con manejo de archivos.</t>
  </si>
  <si>
    <t>Metodologías de desarrollo de software: concepto, clasificación, roles, ejemplos.
Metodologías tradicionales: Proceso Unificado Racional (RUP).
Metodologías ágiles: Scrum, Programación Extrema (XP), Desarrollo Rápido de Aplicaciones (RAD).
Proyectos de software: características, tipos, componentes.
Planeación: definir y priorizar actividades de análisis, fijar cronogramas y entregables.</t>
  </si>
  <si>
    <t>Informes de requisitos: análisis, interpretación y toma de decisiones.
Análisis orientado a objetos:
Conceptos de objeto, clase, instancia.
Multiplicidad, asociación, agregación, composición.
Actor, caso de uso, mensajes, excepciones.
Condiciones, post-condiciones, focos de control.
UML:
Definición, notación, elementos, relaciones.
Diagramas UML: casos de uso, actividades, modelo de dominio.
Clasificación de diagramas.
Herramientas CASE: definición, tipos, uso.
Modelo de datos: fundamentos de bases de datos, modelo entidad–relación.</t>
  </si>
  <si>
    <t>Informe de análisis: estructura, resultados.
Instrumentos de verificación: listas de chequeo.
Trazabilidad: artefactos generados en el análisis frente a los requisitos.</t>
  </si>
  <si>
    <t>Lógica matemática: fundamentos, lógica proposicional.
Algoritmo:
Concepto, tipos.
Técnicas para la formulación de algoritmos (pseudocódigo, diagramas de flujo).
Entidades primitivas.
Jerarquía de operadores.
Estructuras secuenciales, condicionales y cíclicas.
Arreglos, funciones, procedimientos.
Prueba de escritorio.
Herramientas para creación y prueba de algoritmos: DFD, LPP o PSeInt, Python.</t>
  </si>
  <si>
    <t>Agosto, Septiembre y Octubre</t>
  </si>
  <si>
    <t>Noviembre, Diciembre, Febrero</t>
  </si>
  <si>
    <t>Marzo, Abril, Mayo</t>
  </si>
  <si>
    <t>Definir especificaciones técnicas de acuerdo con las características de la solución de software.</t>
  </si>
  <si>
    <t>Abril</t>
  </si>
  <si>
    <t>Calificado</t>
  </si>
  <si>
    <t>Mayo</t>
  </si>
  <si>
    <t>Octubre</t>
  </si>
  <si>
    <t>Junio</t>
  </si>
  <si>
    <t>abril y mayo</t>
  </si>
  <si>
    <t>Julio,agosto, sept</t>
  </si>
  <si>
    <t>Diciembre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</si>
</sst>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sz val="11"/>
      <color theme="1"/>
      <name val="Calibri"/>
      <family val="2"/>
      <scheme val="minor"/>
    </font>
    <font>
      <sz val="11"/>
      <color indexed="8"/>
      <name val="Calibri"/>
      <family val="2"/>
    </font>
    <font>
      <b/>
      <sz val="10"/>
      <color theme="1"/>
      <name val="Calibri"/>
      <family val="2"/>
    </font>
    <font>
      <u/>
      <sz val="11"/>
      <color theme="10"/>
      <name val="Calibri"/>
      <family val="2"/>
      <scheme val="minor"/>
    </font>
    <font>
      <u/>
      <sz val="11"/>
      <color theme="11"/>
      <name val="Calibri"/>
      <family val="2"/>
      <scheme val="minor"/>
    </font>
    <font>
      <b/>
      <sz val="10"/>
      <color theme="1"/>
      <name val="Calibri"/>
      <family val="2"/>
      <scheme val="minor"/>
    </font>
    <font>
      <sz val="10"/>
      <color theme="1"/>
      <name val="Calibri"/>
      <family val="2"/>
      <scheme val="minor"/>
    </font>
    <font>
      <sz val="9"/>
      <color indexed="81"/>
      <name val="Calibri"/>
      <family val="2"/>
    </font>
    <font>
      <b/>
      <sz val="9"/>
      <color indexed="81"/>
      <name val="Calibri"/>
      <family val="2"/>
    </font>
    <font>
      <b/>
      <sz val="12"/>
      <color theme="1"/>
      <name val="Calibri"/>
      <family val="2"/>
      <scheme val="minor"/>
    </font>
    <font>
      <b/>
      <sz val="10"/>
      <name val="Calibri"/>
      <family val="2"/>
      <scheme val="minor"/>
    </font>
    <font>
      <b/>
      <sz val="12"/>
      <color theme="1"/>
      <name val="Calibri"/>
      <family val="2"/>
    </font>
    <font>
      <sz val="11"/>
      <color theme="1"/>
      <name val="Calibri"/>
      <family val="2"/>
    </font>
    <font>
      <b/>
      <sz val="11"/>
      <color theme="0"/>
      <name val="Calibri"/>
      <family val="2"/>
      <scheme val="minor"/>
    </font>
    <font>
      <sz val="11"/>
      <color theme="0"/>
      <name val="Calibri"/>
      <family val="2"/>
      <scheme val="minor"/>
    </font>
    <font>
      <sz val="12"/>
      <name val="Calibri"/>
      <family val="2"/>
      <scheme val="minor"/>
    </font>
    <font>
      <b/>
      <sz val="14"/>
      <color theme="0"/>
      <name val="Calibri"/>
      <family val="2"/>
      <scheme val="minor"/>
    </font>
    <font>
      <b/>
      <sz val="10"/>
      <color theme="0"/>
      <name val="Calibri"/>
      <family val="2"/>
      <scheme val="minor"/>
    </font>
    <font>
      <b/>
      <sz val="9"/>
      <color theme="0"/>
      <name val="Calibri"/>
      <family val="2"/>
      <scheme val="minor"/>
    </font>
    <font>
      <b/>
      <sz val="8"/>
      <color theme="0"/>
      <name val="Calibri"/>
      <family val="2"/>
      <scheme val="minor"/>
    </font>
    <font>
      <b/>
      <sz val="12"/>
      <color rgb="FFFF0000"/>
      <name val="Calibri"/>
      <family val="2"/>
      <scheme val="minor"/>
    </font>
    <font>
      <b/>
      <sz val="14"/>
      <name val="Calibri"/>
      <family val="2"/>
      <scheme val="minor"/>
    </font>
    <font>
      <b/>
      <sz val="12"/>
      <name val="Calibri"/>
      <family val="2"/>
      <scheme val="minor"/>
    </font>
    <font>
      <b/>
      <sz val="12"/>
      <color theme="0"/>
      <name val="Calibri"/>
      <family val="2"/>
      <scheme val="minor"/>
    </font>
    <font>
      <sz val="10"/>
      <name val="Calibri"/>
      <family val="2"/>
      <scheme val="minor"/>
    </font>
    <font>
      <sz val="11"/>
      <name val="Calibri"/>
      <family val="2"/>
    </font>
    <font>
      <sz val="11"/>
      <name val="Arial"/>
      <family val="2"/>
    </font>
    <font>
      <b/>
      <sz val="9"/>
      <color indexed="81"/>
      <name val="Tahoma"/>
      <family val="2"/>
    </font>
    <font>
      <sz val="9"/>
      <color indexed="81"/>
      <name val="Tahoma"/>
      <family val="2"/>
    </font>
    <font>
      <b/>
      <sz val="9"/>
      <name val="Tahoma"/>
      <family val="2"/>
    </font>
    <font>
      <sz val="9"/>
      <name val="Tahoma"/>
      <family val="2"/>
    </font>
    <font>
      <sz val="11"/>
      <name val="Calibri"/>
      <family val="2"/>
      <scheme val="minor"/>
    </font>
    <font>
      <b/>
      <sz val="10"/>
      <name val="Arial"/>
      <family val="2"/>
    </font>
    <font>
      <sz val="10"/>
      <name val="Arial"/>
      <family val="2"/>
    </font>
    <font>
      <b/>
      <sz val="11"/>
      <name val="Arial"/>
      <family val="2"/>
    </font>
    <font>
      <b/>
      <sz val="11"/>
      <name val="Calibri"/>
      <family val="2"/>
      <scheme val="minor"/>
    </font>
    <font>
      <sz val="10"/>
      <name val="Calibri"/>
      <family val="2"/>
    </font>
    <font>
      <sz val="9"/>
      <name val="Arial"/>
      <family val="2"/>
    </font>
    <font>
      <b/>
      <sz val="9"/>
      <name val="Times New Roman"/>
      <family val="1"/>
    </font>
    <font>
      <sz val="9"/>
      <name val="Times New Roman"/>
      <family val="1"/>
    </font>
    <font>
      <sz val="11"/>
      <color rgb="FF000000"/>
      <name val="Calibri"/>
      <family val="2"/>
    </font>
    <font>
      <b/>
      <sz val="10"/>
      <name val="Calibri"/>
      <family val="2"/>
    </font>
    <font>
      <sz val="11"/>
      <color rgb="FF000000"/>
      <name val="Calibri"/>
      <family val="2"/>
      <scheme val="minor"/>
    </font>
    <font>
      <b/>
      <sz val="11"/>
      <color rgb="FF000000"/>
      <name val="Calibri"/>
      <family val="2"/>
      <scheme val="minor"/>
    </font>
    <font>
      <b/>
      <sz val="11"/>
      <name val="Calibri"/>
      <family val="2"/>
    </font>
    <font>
      <sz val="20"/>
      <color theme="1"/>
      <name val="Calibri"/>
      <family val="2"/>
      <scheme val="minor"/>
    </font>
    <font>
      <sz val="30"/>
      <color theme="1"/>
      <name val="Calibri"/>
      <family val="2"/>
      <scheme val="minor"/>
    </font>
    <font>
      <sz val="30"/>
      <color theme="3" tint="0.59999389629810485"/>
      <name val="Calibri"/>
      <family val="2"/>
      <scheme val="minor"/>
    </font>
    <font>
      <sz val="10"/>
      <color rgb="FFFF0000"/>
      <name val="Calibri"/>
      <family val="2"/>
      <scheme val="minor"/>
    </font>
    <font>
      <sz val="18"/>
      <color theme="1"/>
      <name val="Calibri"/>
      <family val="2"/>
      <scheme val="minor"/>
    </font>
    <font>
      <sz val="26"/>
      <color theme="1"/>
      <name val="Calibri"/>
      <family val="2"/>
      <scheme val="minor"/>
    </font>
  </fonts>
  <fills count="24">
    <fill>
      <patternFill patternType="none"/>
    </fill>
    <fill>
      <patternFill patternType="gray125"/>
    </fill>
    <fill>
      <patternFill patternType="solid">
        <fgColor theme="0"/>
        <bgColor indexed="64"/>
      </patternFill>
    </fill>
    <fill>
      <patternFill patternType="solid">
        <fgColor rgb="FF575757"/>
        <bgColor indexed="64"/>
      </patternFill>
    </fill>
    <fill>
      <patternFill patternType="solid">
        <fgColor theme="1" tint="0.249977111117893"/>
        <bgColor indexed="64"/>
      </patternFill>
    </fill>
    <fill>
      <patternFill patternType="solid">
        <fgColor theme="9" tint="0.59999389629810485"/>
        <bgColor indexed="65"/>
      </patternFill>
    </fill>
    <fill>
      <patternFill patternType="solid">
        <fgColor rgb="FFFFFFCC"/>
        <bgColor indexed="64"/>
      </patternFill>
    </fill>
    <fill>
      <patternFill patternType="solid">
        <fgColor theme="3" tint="0.39997558519241921"/>
        <bgColor indexed="64"/>
      </patternFill>
    </fill>
    <fill>
      <patternFill patternType="solid">
        <fgColor rgb="FFFFC000"/>
        <bgColor indexed="64"/>
      </patternFill>
    </fill>
    <fill>
      <patternFill patternType="solid">
        <fgColor rgb="FF00B0F0"/>
        <bgColor indexed="64"/>
      </patternFill>
    </fill>
    <fill>
      <patternFill patternType="solid">
        <fgColor theme="3" tint="0.499984740745262"/>
        <bgColor indexed="64"/>
      </patternFill>
    </fill>
    <fill>
      <patternFill patternType="solid">
        <fgColor rgb="FFFFC000"/>
        <bgColor rgb="FF00CC33"/>
      </patternFill>
    </fill>
    <fill>
      <patternFill patternType="solid">
        <fgColor rgb="FFFFFF00"/>
        <bgColor indexed="64"/>
      </patternFill>
    </fill>
    <fill>
      <patternFill patternType="solid">
        <fgColor theme="9" tint="0.79995117038483843"/>
        <bgColor indexed="64"/>
      </patternFill>
    </fill>
    <fill>
      <patternFill patternType="solid">
        <fgColor theme="6" tint="0.79998168889431442"/>
        <bgColor indexed="64"/>
      </patternFill>
    </fill>
    <fill>
      <patternFill patternType="solid">
        <fgColor rgb="FFFFFFCC"/>
        <bgColor rgb="FFFFFFFF"/>
      </patternFill>
    </fill>
    <fill>
      <patternFill patternType="solid">
        <fgColor theme="9" tint="0.79995117038483843"/>
        <bgColor rgb="FFFFFFFF"/>
      </patternFill>
    </fill>
    <fill>
      <patternFill patternType="solid">
        <fgColor theme="6" tint="-0.249977111117893"/>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002060"/>
        <bgColor indexed="64"/>
      </patternFill>
    </fill>
    <fill>
      <patternFill patternType="solid">
        <fgColor theme="2"/>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bottom/>
      <diagonal/>
    </border>
    <border>
      <left style="medium">
        <color indexed="64"/>
      </left>
      <right/>
      <top/>
      <bottom style="medium">
        <color indexed="64"/>
      </bottom>
      <diagonal/>
    </border>
    <border>
      <left style="thin">
        <color auto="1"/>
      </left>
      <right style="thin">
        <color auto="1"/>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auto="1"/>
      </top>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diagonal/>
    </border>
  </borders>
  <cellStyleXfs count="54">
    <xf numFmtId="0" fontId="0" fillId="0" borderId="0"/>
    <xf numFmtId="0" fontId="1" fillId="0" borderId="0"/>
    <xf numFmtId="0" fontId="2"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xf numFmtId="0" fontId="1" fillId="5" borderId="0" applyNumberFormat="0" applyBorder="0" applyAlignment="0" applyProtection="0"/>
    <xf numFmtId="0" fontId="4" fillId="0" borderId="0" applyNumberFormat="0" applyFill="0" applyBorder="0" applyAlignment="0" applyProtection="0"/>
  </cellStyleXfs>
  <cellXfs count="326">
    <xf numFmtId="0" fontId="0" fillId="0" borderId="0" xfId="0"/>
    <xf numFmtId="0" fontId="6" fillId="0" borderId="0" xfId="0" applyFont="1" applyAlignment="1">
      <alignment vertical="center" wrapText="1"/>
    </xf>
    <xf numFmtId="0" fontId="13" fillId="0" borderId="0" xfId="0" applyFont="1"/>
    <xf numFmtId="0" fontId="0" fillId="0" borderId="1" xfId="0" applyBorder="1" applyAlignment="1">
      <alignment horizontal="center" vertical="center"/>
    </xf>
    <xf numFmtId="0" fontId="15" fillId="0" borderId="0" xfId="0" applyFont="1"/>
    <xf numFmtId="0" fontId="0" fillId="0" borderId="1" xfId="0" applyBorder="1" applyAlignment="1">
      <alignment horizontal="center" vertical="center" wrapText="1"/>
    </xf>
    <xf numFmtId="0" fontId="24" fillId="3" borderId="1" xfId="0" applyFont="1" applyFill="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3" fillId="0" borderId="1" xfId="0" applyFont="1" applyBorder="1" applyAlignment="1">
      <alignment horizontal="left" vertical="center" wrapText="1"/>
    </xf>
    <xf numFmtId="0" fontId="13" fillId="0" borderId="0" xfId="0" applyFont="1" applyAlignment="1">
      <alignment horizontal="left"/>
    </xf>
    <xf numFmtId="0" fontId="10" fillId="0" borderId="7" xfId="0" applyFont="1" applyBorder="1" applyAlignment="1">
      <alignment horizontal="center" vertical="top"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10" fillId="0" borderId="0" xfId="0" applyFont="1" applyAlignment="1">
      <alignment horizontal="center" vertical="top"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vertical="center" wrapText="1"/>
    </xf>
    <xf numFmtId="0" fontId="26" fillId="8"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7" fillId="0" borderId="1" xfId="0" applyFont="1" applyBorder="1" applyAlignment="1">
      <alignment vertical="center" wrapText="1"/>
    </xf>
    <xf numFmtId="0" fontId="27" fillId="8" borderId="1" xfId="0" applyFont="1" applyFill="1" applyBorder="1" applyAlignment="1">
      <alignment vertical="center" wrapText="1"/>
    </xf>
    <xf numFmtId="0" fontId="27" fillId="8"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6" borderId="1" xfId="0" applyFont="1" applyFill="1" applyBorder="1" applyAlignment="1">
      <alignment vertical="center" wrapText="1"/>
    </xf>
    <xf numFmtId="0" fontId="27" fillId="6" borderId="1"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27" fillId="10" borderId="1" xfId="0" applyFont="1" applyFill="1" applyBorder="1" applyAlignment="1">
      <alignment vertical="center" wrapText="1"/>
    </xf>
    <xf numFmtId="0" fontId="32" fillId="10" borderId="1" xfId="0" applyFont="1" applyFill="1" applyBorder="1" applyAlignment="1">
      <alignment vertical="center" wrapText="1"/>
    </xf>
    <xf numFmtId="0" fontId="27" fillId="8" borderId="1" xfId="2" applyFont="1" applyFill="1" applyBorder="1" applyAlignment="1">
      <alignment horizontal="center" vertical="center" wrapText="1"/>
    </xf>
    <xf numFmtId="0" fontId="34" fillId="8" borderId="1" xfId="0" applyFont="1" applyFill="1" applyBorder="1" applyAlignment="1">
      <alignment horizontal="center" vertical="center" wrapText="1"/>
    </xf>
    <xf numFmtId="0" fontId="34" fillId="0" borderId="1" xfId="0" applyFont="1" applyBorder="1" applyAlignment="1">
      <alignment horizontal="center" vertical="center" wrapText="1"/>
    </xf>
    <xf numFmtId="0" fontId="25" fillId="8" borderId="1" xfId="0" applyFont="1" applyFill="1" applyBorder="1" applyAlignment="1">
      <alignment wrapText="1"/>
    </xf>
    <xf numFmtId="0" fontId="27" fillId="6" borderId="1" xfId="0" applyFont="1" applyFill="1" applyBorder="1" applyAlignment="1">
      <alignment horizontal="left" vertical="center" wrapText="1"/>
    </xf>
    <xf numFmtId="0" fontId="34" fillId="8" borderId="1" xfId="0" applyFont="1" applyFill="1" applyBorder="1" applyAlignment="1">
      <alignment vertical="center" wrapText="1"/>
    </xf>
    <xf numFmtId="0" fontId="34" fillId="11" borderId="1" xfId="0" applyFont="1" applyFill="1" applyBorder="1" applyAlignment="1">
      <alignment vertical="center" wrapText="1"/>
    </xf>
    <xf numFmtId="0" fontId="32" fillId="13" borderId="1" xfId="0" applyFont="1" applyFill="1" applyBorder="1" applyAlignment="1">
      <alignment wrapText="1"/>
    </xf>
    <xf numFmtId="0" fontId="27" fillId="13" borderId="1" xfId="0" applyFont="1" applyFill="1" applyBorder="1" applyAlignment="1">
      <alignment horizontal="left" vertical="center" wrapText="1"/>
    </xf>
    <xf numFmtId="0" fontId="37" fillId="6" borderId="1" xfId="0" applyFont="1" applyFill="1" applyBorder="1" applyAlignment="1">
      <alignment horizontal="center" vertical="center" wrapText="1"/>
    </xf>
    <xf numFmtId="0" fontId="37" fillId="6" borderId="1" xfId="0" applyFont="1" applyFill="1" applyBorder="1" applyAlignment="1">
      <alignment vertical="top" wrapText="1"/>
    </xf>
    <xf numFmtId="0" fontId="37" fillId="0" borderId="1" xfId="0" applyFont="1" applyBorder="1" applyAlignment="1">
      <alignment vertical="center" wrapText="1"/>
    </xf>
    <xf numFmtId="0" fontId="38" fillId="0" borderId="1" xfId="0" applyFont="1" applyBorder="1" applyAlignment="1">
      <alignment vertical="center" wrapText="1"/>
    </xf>
    <xf numFmtId="0" fontId="37" fillId="0" borderId="1" xfId="0" applyFont="1" applyBorder="1" applyAlignment="1">
      <alignment vertical="top" wrapText="1"/>
    </xf>
    <xf numFmtId="0" fontId="32" fillId="0" borderId="1" xfId="0" applyFont="1" applyBorder="1" applyAlignment="1">
      <alignment vertical="center" wrapText="1"/>
    </xf>
    <xf numFmtId="0" fontId="37" fillId="0" borderId="1" xfId="0" applyFont="1" applyBorder="1" applyAlignment="1">
      <alignment wrapText="1"/>
    </xf>
    <xf numFmtId="0" fontId="37" fillId="0" borderId="1" xfId="0" applyFont="1" applyBorder="1" applyAlignment="1">
      <alignment horizontal="center" vertical="center" wrapText="1"/>
    </xf>
    <xf numFmtId="0" fontId="25" fillId="0" borderId="1" xfId="0" applyFont="1" applyBorder="1" applyAlignment="1">
      <alignment horizontal="center" vertical="center"/>
    </xf>
    <xf numFmtId="1" fontId="37" fillId="0" borderId="1" xfId="51" applyNumberFormat="1" applyFont="1" applyFill="1" applyBorder="1" applyAlignment="1">
      <alignment horizontal="center" vertical="center" wrapText="1"/>
    </xf>
    <xf numFmtId="0" fontId="25" fillId="6" borderId="1" xfId="0" applyFont="1" applyFill="1" applyBorder="1" applyAlignment="1">
      <alignment horizontal="center" vertical="center"/>
    </xf>
    <xf numFmtId="1" fontId="37" fillId="6" borderId="1" xfId="51" applyNumberFormat="1" applyFont="1" applyFill="1" applyBorder="1" applyAlignment="1">
      <alignment horizontal="center" vertical="center" wrapText="1"/>
    </xf>
    <xf numFmtId="0" fontId="37" fillId="0" borderId="1" xfId="0" applyFont="1" applyBorder="1" applyAlignment="1">
      <alignment horizontal="center" vertical="center"/>
    </xf>
    <xf numFmtId="2" fontId="37" fillId="6" borderId="1" xfId="51" applyNumberFormat="1" applyFont="1" applyFill="1" applyBorder="1" applyAlignment="1">
      <alignment horizontal="center" vertical="center" wrapText="1"/>
    </xf>
    <xf numFmtId="0" fontId="37" fillId="6" borderId="1" xfId="0" applyFont="1" applyFill="1" applyBorder="1" applyAlignment="1">
      <alignment horizontal="center" vertical="center"/>
    </xf>
    <xf numFmtId="0" fontId="25" fillId="0" borderId="1" xfId="0" applyFont="1" applyBorder="1" applyAlignment="1">
      <alignment horizontal="left" vertical="center" wrapText="1"/>
    </xf>
    <xf numFmtId="0" fontId="25" fillId="6" borderId="1" xfId="0" applyFont="1" applyFill="1" applyBorder="1" applyAlignment="1">
      <alignment horizontal="left" vertical="center" wrapText="1"/>
    </xf>
    <xf numFmtId="0" fontId="37" fillId="0" borderId="1" xfId="0" applyFont="1" applyBorder="1" applyAlignment="1">
      <alignment vertical="top"/>
    </xf>
    <xf numFmtId="0" fontId="25" fillId="6" borderId="1" xfId="0" applyFont="1" applyFill="1" applyBorder="1" applyAlignment="1">
      <alignment vertical="center"/>
    </xf>
    <xf numFmtId="0" fontId="32" fillId="6" borderId="1" xfId="0" applyFont="1" applyFill="1" applyBorder="1" applyAlignment="1">
      <alignment vertical="center"/>
    </xf>
    <xf numFmtId="0" fontId="25" fillId="0" borderId="1" xfId="0" applyFont="1" applyBorder="1" applyAlignment="1">
      <alignment vertical="center"/>
    </xf>
    <xf numFmtId="0" fontId="32" fillId="0" borderId="1" xfId="0" applyFont="1" applyBorder="1" applyAlignment="1">
      <alignment vertical="center"/>
    </xf>
    <xf numFmtId="0" fontId="25" fillId="6" borderId="28" xfId="0" applyFont="1" applyFill="1" applyBorder="1" applyAlignment="1">
      <alignment horizontal="center" vertical="center" wrapText="1"/>
    </xf>
    <xf numFmtId="0" fontId="25" fillId="0" borderId="29" xfId="0" applyFont="1" applyBorder="1" applyAlignment="1">
      <alignment horizontal="center" vertical="center" wrapText="1"/>
    </xf>
    <xf numFmtId="0" fontId="32" fillId="0" borderId="29" xfId="0" applyFont="1" applyBorder="1" applyAlignment="1">
      <alignment wrapText="1"/>
    </xf>
    <xf numFmtId="0" fontId="32" fillId="0" borderId="29" xfId="0" applyFont="1" applyBorder="1" applyAlignment="1">
      <alignment horizontal="center" vertical="center" wrapText="1"/>
    </xf>
    <xf numFmtId="0" fontId="25" fillId="14" borderId="29" xfId="0" applyFont="1" applyFill="1" applyBorder="1" applyAlignment="1">
      <alignment horizontal="center" vertical="center" wrapText="1"/>
    </xf>
    <xf numFmtId="0" fontId="32" fillId="14" borderId="29" xfId="0" applyFont="1" applyFill="1" applyBorder="1" applyAlignment="1">
      <alignment wrapText="1"/>
    </xf>
    <xf numFmtId="0" fontId="25" fillId="6" borderId="29" xfId="0" applyFont="1" applyFill="1" applyBorder="1" applyAlignment="1">
      <alignment horizontal="center" vertical="center" wrapText="1"/>
    </xf>
    <xf numFmtId="0" fontId="25" fillId="6" borderId="33" xfId="0" applyFont="1" applyFill="1" applyBorder="1" applyAlignment="1">
      <alignment horizontal="center" vertical="center" wrapText="1"/>
    </xf>
    <xf numFmtId="0" fontId="37" fillId="6" borderId="1" xfId="0" applyFont="1" applyFill="1" applyBorder="1" applyAlignment="1">
      <alignment vertical="center" wrapText="1"/>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7"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7" fillId="2" borderId="1" xfId="0" applyFont="1" applyFill="1" applyBorder="1" applyAlignment="1">
      <alignment wrapText="1"/>
    </xf>
    <xf numFmtId="0" fontId="37" fillId="2" borderId="1" xfId="0" applyFont="1" applyFill="1" applyBorder="1" applyAlignment="1">
      <alignment vertical="top" wrapText="1"/>
    </xf>
    <xf numFmtId="0" fontId="32" fillId="6" borderId="1" xfId="0" applyFont="1" applyFill="1" applyBorder="1" applyAlignment="1">
      <alignment horizontal="center" vertical="center"/>
    </xf>
    <xf numFmtId="0" fontId="32" fillId="0" borderId="1" xfId="0" applyFont="1" applyBorder="1" applyAlignment="1">
      <alignment horizontal="center" vertical="center"/>
    </xf>
    <xf numFmtId="0" fontId="43" fillId="0" borderId="1" xfId="0" applyFont="1" applyBorder="1" applyAlignment="1">
      <alignment horizontal="left" vertical="center" wrapText="1"/>
    </xf>
    <xf numFmtId="0" fontId="37" fillId="6" borderId="1" xfId="0" applyFont="1" applyFill="1" applyBorder="1" applyAlignment="1">
      <alignment vertical="center"/>
    </xf>
    <xf numFmtId="0" fontId="32" fillId="0" borderId="1" xfId="0" applyFont="1" applyBorder="1"/>
    <xf numFmtId="0" fontId="32" fillId="6" borderId="1" xfId="0" applyFont="1" applyFill="1" applyBorder="1" applyAlignment="1">
      <alignment vertical="center" wrapText="1"/>
    </xf>
    <xf numFmtId="0" fontId="32" fillId="0" borderId="1" xfId="0" applyFont="1" applyBorder="1" applyAlignment="1">
      <alignment wrapText="1"/>
    </xf>
    <xf numFmtId="0" fontId="34" fillId="0" borderId="1" xfId="0" applyFont="1" applyBorder="1" applyAlignment="1">
      <alignment vertical="center" wrapText="1"/>
    </xf>
    <xf numFmtId="0" fontId="34" fillId="0" borderId="1" xfId="0" applyFont="1" applyBorder="1" applyAlignment="1">
      <alignment horizontal="center" vertical="center"/>
    </xf>
    <xf numFmtId="0" fontId="27" fillId="0" borderId="1" xfId="0" applyFont="1" applyBorder="1" applyAlignment="1">
      <alignment horizontal="left" vertical="center" wrapText="1"/>
    </xf>
    <xf numFmtId="0" fontId="37" fillId="15" borderId="1" xfId="0" applyFont="1" applyFill="1" applyBorder="1" applyAlignment="1">
      <alignment vertical="top" wrapText="1"/>
    </xf>
    <xf numFmtId="0" fontId="27" fillId="0" borderId="1" xfId="0" applyFont="1" applyBorder="1" applyAlignment="1">
      <alignment horizontal="left" vertical="top" wrapText="1"/>
    </xf>
    <xf numFmtId="0" fontId="37" fillId="16" borderId="1" xfId="0" applyFont="1" applyFill="1" applyBorder="1" applyAlignment="1">
      <alignment vertical="top" wrapText="1"/>
    </xf>
    <xf numFmtId="0" fontId="32" fillId="13" borderId="1" xfId="0" applyFont="1" applyFill="1" applyBorder="1" applyAlignment="1">
      <alignment horizontal="center" vertical="center"/>
    </xf>
    <xf numFmtId="0" fontId="32" fillId="0" borderId="1" xfId="0" applyFont="1" applyBorder="1" applyAlignment="1">
      <alignment vertical="top" wrapText="1"/>
    </xf>
    <xf numFmtId="0" fontId="37" fillId="15" borderId="1" xfId="0" applyFont="1" applyFill="1" applyBorder="1" applyAlignment="1">
      <alignment horizontal="left" vertical="top" wrapText="1"/>
    </xf>
    <xf numFmtId="0" fontId="37" fillId="15" borderId="1" xfId="0" applyFont="1" applyFill="1" applyBorder="1" applyAlignment="1">
      <alignment vertical="top"/>
    </xf>
    <xf numFmtId="0" fontId="32" fillId="13" borderId="1" xfId="0" applyFont="1" applyFill="1" applyBorder="1" applyAlignment="1">
      <alignment vertical="center"/>
    </xf>
    <xf numFmtId="15" fontId="0" fillId="0" borderId="0" xfId="0" applyNumberFormat="1"/>
    <xf numFmtId="0" fontId="47" fillId="17" borderId="0" xfId="0" applyFont="1" applyFill="1" applyAlignment="1">
      <alignment horizontal="center" vertical="center" textRotation="255"/>
    </xf>
    <xf numFmtId="0" fontId="18"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5" fillId="6" borderId="10" xfId="0" applyFont="1" applyFill="1" applyBorder="1" applyAlignment="1">
      <alignment horizontal="center" vertical="center" wrapText="1"/>
    </xf>
    <xf numFmtId="0" fontId="25" fillId="6" borderId="10" xfId="0" applyFont="1" applyFill="1" applyBorder="1" applyAlignment="1">
      <alignment horizontal="center" vertical="center"/>
    </xf>
    <xf numFmtId="0" fontId="25" fillId="6" borderId="10" xfId="0" applyFont="1" applyFill="1" applyBorder="1" applyAlignment="1">
      <alignment horizontal="left" vertical="center" wrapText="1"/>
    </xf>
    <xf numFmtId="0" fontId="25" fillId="6" borderId="10" xfId="0" applyFont="1" applyFill="1" applyBorder="1" applyAlignment="1">
      <alignment vertical="center" wrapText="1"/>
    </xf>
    <xf numFmtId="0" fontId="25" fillId="6" borderId="39" xfId="0" applyFont="1" applyFill="1" applyBorder="1" applyAlignment="1">
      <alignment horizontal="center" vertical="center" wrapText="1"/>
    </xf>
    <xf numFmtId="0" fontId="0" fillId="0" borderId="7" xfId="0" applyBorder="1"/>
    <xf numFmtId="0" fontId="37" fillId="6" borderId="39" xfId="0" applyFont="1" applyFill="1" applyBorder="1" applyAlignment="1">
      <alignment vertical="top" wrapText="1"/>
    </xf>
    <xf numFmtId="0" fontId="25" fillId="0" borderId="39" xfId="0" applyFont="1" applyBorder="1" applyAlignment="1">
      <alignment horizontal="center" vertical="center" wrapText="1"/>
    </xf>
    <xf numFmtId="0" fontId="37" fillId="6" borderId="39" xfId="0" applyFont="1" applyFill="1" applyBorder="1" applyAlignment="1">
      <alignment horizontal="center" vertical="center"/>
    </xf>
    <xf numFmtId="0" fontId="27" fillId="6" borderId="10" xfId="0" applyFont="1" applyFill="1" applyBorder="1" applyAlignment="1">
      <alignment horizontal="center" vertical="center" wrapText="1"/>
    </xf>
    <xf numFmtId="0" fontId="0" fillId="0" borderId="5" xfId="0" applyBorder="1"/>
    <xf numFmtId="0" fontId="27" fillId="6" borderId="10" xfId="0" applyFont="1" applyFill="1" applyBorder="1" applyAlignment="1">
      <alignment horizontal="left" vertical="center" wrapText="1"/>
    </xf>
    <xf numFmtId="0" fontId="27" fillId="0" borderId="10" xfId="0" applyFont="1" applyBorder="1" applyAlignment="1">
      <alignment horizontal="center" vertical="center" wrapText="1"/>
    </xf>
    <xf numFmtId="0" fontId="27" fillId="6" borderId="13" xfId="0" applyFont="1" applyFill="1" applyBorder="1" applyAlignment="1">
      <alignment horizontal="center" vertical="top"/>
    </xf>
    <xf numFmtId="0" fontId="32" fillId="6" borderId="13" xfId="0" applyFont="1" applyFill="1" applyBorder="1"/>
    <xf numFmtId="0" fontId="27" fillId="0" borderId="13" xfId="0" applyFont="1" applyBorder="1" applyAlignment="1">
      <alignment horizontal="center" vertical="top"/>
    </xf>
    <xf numFmtId="0" fontId="32" fillId="0" borderId="13" xfId="0" applyFont="1" applyBorder="1" applyAlignment="1">
      <alignment wrapText="1"/>
    </xf>
    <xf numFmtId="0" fontId="4" fillId="0" borderId="4" xfId="53" applyBorder="1" applyAlignment="1">
      <alignment horizontal="center" vertical="center"/>
    </xf>
    <xf numFmtId="0" fontId="32" fillId="0" borderId="13" xfId="0" applyFont="1" applyBorder="1"/>
    <xf numFmtId="0" fontId="32" fillId="6" borderId="13" xfId="0" applyFont="1" applyFill="1" applyBorder="1" applyAlignment="1">
      <alignment wrapText="1"/>
    </xf>
    <xf numFmtId="0" fontId="27" fillId="8" borderId="39" xfId="2" applyFont="1" applyFill="1" applyBorder="1" applyAlignment="1">
      <alignment horizontal="center" vertical="center" wrapText="1"/>
    </xf>
    <xf numFmtId="0" fontId="37" fillId="6" borderId="39" xfId="0" applyFont="1" applyFill="1" applyBorder="1" applyAlignment="1">
      <alignment horizontal="center" vertical="center" wrapText="1"/>
    </xf>
    <xf numFmtId="0" fontId="37" fillId="6" borderId="39" xfId="0" applyFont="1" applyFill="1" applyBorder="1" applyAlignment="1">
      <alignment vertical="center" wrapText="1"/>
    </xf>
    <xf numFmtId="0" fontId="37" fillId="6" borderId="39" xfId="0" applyFont="1" applyFill="1" applyBorder="1" applyAlignment="1">
      <alignment wrapText="1"/>
    </xf>
    <xf numFmtId="0" fontId="27" fillId="6" borderId="41" xfId="0" applyFont="1" applyFill="1" applyBorder="1" applyAlignment="1">
      <alignment horizontal="center" vertical="top"/>
    </xf>
    <xf numFmtId="0" fontId="34" fillId="0" borderId="10" xfId="0" applyFont="1" applyBorder="1" applyAlignment="1">
      <alignment vertical="center" wrapText="1"/>
    </xf>
    <xf numFmtId="0" fontId="34" fillId="0" borderId="10" xfId="0" applyFont="1" applyBorder="1" applyAlignment="1">
      <alignment horizontal="center" vertical="center" wrapText="1"/>
    </xf>
    <xf numFmtId="0" fontId="34" fillId="0" borderId="10" xfId="0" applyFont="1" applyBorder="1" applyAlignment="1">
      <alignment horizontal="center" vertical="center"/>
    </xf>
    <xf numFmtId="0" fontId="25" fillId="6" borderId="13" xfId="0" applyFont="1" applyFill="1" applyBorder="1"/>
    <xf numFmtId="0" fontId="34" fillId="0" borderId="36" xfId="0" applyFont="1" applyBorder="1" applyAlignment="1">
      <alignment vertical="center" wrapText="1"/>
    </xf>
    <xf numFmtId="0" fontId="4" fillId="0" borderId="4" xfId="53" applyBorder="1"/>
    <xf numFmtId="0" fontId="4" fillId="0" borderId="37" xfId="53" applyBorder="1" applyAlignment="1">
      <alignment vertical="center" wrapText="1"/>
    </xf>
    <xf numFmtId="0" fontId="4" fillId="0" borderId="36" xfId="53" applyBorder="1" applyAlignment="1">
      <alignment vertical="center" wrapText="1"/>
    </xf>
    <xf numFmtId="0" fontId="35" fillId="0" borderId="13" xfId="0" applyFont="1" applyBorder="1" applyAlignment="1">
      <alignment vertical="center" wrapText="1"/>
    </xf>
    <xf numFmtId="0" fontId="25" fillId="8" borderId="39" xfId="0" applyFont="1" applyFill="1" applyBorder="1" applyAlignment="1">
      <alignment wrapText="1"/>
    </xf>
    <xf numFmtId="0" fontId="37" fillId="0" borderId="39" xfId="0" applyFont="1" applyBorder="1" applyAlignment="1">
      <alignment vertical="top" wrapText="1"/>
    </xf>
    <xf numFmtId="0" fontId="32" fillId="0" borderId="39" xfId="0" applyFont="1" applyBorder="1" applyAlignment="1">
      <alignment horizontal="center" vertical="center"/>
    </xf>
    <xf numFmtId="0" fontId="35" fillId="0" borderId="41" xfId="0" applyFont="1" applyBorder="1" applyAlignment="1">
      <alignment vertical="center" wrapText="1"/>
    </xf>
    <xf numFmtId="0" fontId="27" fillId="0" borderId="10" xfId="0" applyFont="1" applyBorder="1" applyAlignment="1">
      <alignment horizontal="left" vertical="center" wrapText="1"/>
    </xf>
    <xf numFmtId="0" fontId="27" fillId="0" borderId="11" xfId="0" applyFont="1" applyBorder="1" applyAlignment="1">
      <alignment horizontal="center" vertical="center" wrapText="1"/>
    </xf>
    <xf numFmtId="0" fontId="37" fillId="6" borderId="13" xfId="0" applyFont="1" applyFill="1" applyBorder="1" applyAlignment="1">
      <alignment vertical="top" wrapText="1"/>
    </xf>
    <xf numFmtId="0" fontId="37" fillId="15" borderId="13" xfId="0" applyFont="1" applyFill="1" applyBorder="1" applyAlignment="1">
      <alignment vertical="top" wrapText="1"/>
    </xf>
    <xf numFmtId="0" fontId="37" fillId="16" borderId="13" xfId="0" applyFont="1" applyFill="1" applyBorder="1" applyAlignment="1">
      <alignment vertical="top" wrapText="1"/>
    </xf>
    <xf numFmtId="0" fontId="37" fillId="0" borderId="13" xfId="0" applyFont="1" applyBorder="1" applyAlignment="1">
      <alignment vertical="top" wrapText="1"/>
    </xf>
    <xf numFmtId="0" fontId="36" fillId="6" borderId="39" xfId="0" applyFont="1" applyFill="1" applyBorder="1" applyAlignment="1">
      <alignment horizontal="center" vertical="center" wrapText="1"/>
    </xf>
    <xf numFmtId="0" fontId="32" fillId="6" borderId="39" xfId="0" applyFont="1" applyFill="1" applyBorder="1" applyAlignment="1">
      <alignment vertical="center"/>
    </xf>
    <xf numFmtId="0" fontId="26" fillId="6" borderId="39" xfId="0" applyFont="1" applyFill="1" applyBorder="1" applyAlignment="1">
      <alignment vertical="center" wrapText="1"/>
    </xf>
    <xf numFmtId="0" fontId="32" fillId="6" borderId="39" xfId="0" applyFont="1" applyFill="1" applyBorder="1" applyAlignment="1">
      <alignment vertical="center" wrapText="1"/>
    </xf>
    <xf numFmtId="0" fontId="32" fillId="6" borderId="39" xfId="0" applyFont="1" applyFill="1" applyBorder="1"/>
    <xf numFmtId="0" fontId="32" fillId="6" borderId="39" xfId="0" applyFont="1" applyFill="1" applyBorder="1" applyAlignment="1">
      <alignment horizontal="left" vertical="center" wrapText="1"/>
    </xf>
    <xf numFmtId="0" fontId="32" fillId="6" borderId="39" xfId="0" applyFont="1" applyFill="1" applyBorder="1" applyAlignment="1">
      <alignment horizontal="center" vertical="center"/>
    </xf>
    <xf numFmtId="2" fontId="42" fillId="15" borderId="41" xfId="0" applyNumberFormat="1" applyFont="1" applyFill="1" applyBorder="1" applyAlignment="1">
      <alignment horizontal="center" vertical="center"/>
    </xf>
    <xf numFmtId="0" fontId="25" fillId="0" borderId="10" xfId="0" applyFont="1" applyBorder="1" applyAlignment="1">
      <alignment horizontal="left" vertical="center" wrapText="1"/>
    </xf>
    <xf numFmtId="0" fontId="0" fillId="0" borderId="1" xfId="0" applyBorder="1" applyAlignment="1">
      <alignment horizontal="left" vertical="center"/>
    </xf>
    <xf numFmtId="0" fontId="25" fillId="23" borderId="10" xfId="0" applyFont="1" applyFill="1" applyBorder="1" applyAlignment="1">
      <alignment horizontal="center" vertical="center" wrapText="1"/>
    </xf>
    <xf numFmtId="0" fontId="49" fillId="0" borderId="1" xfId="0" applyFont="1" applyBorder="1" applyAlignment="1">
      <alignment horizontal="left" vertical="center" wrapText="1"/>
    </xf>
    <xf numFmtId="0" fontId="0" fillId="0" borderId="1" xfId="0" applyBorder="1" applyAlignment="1">
      <alignment horizontal="left" vertical="top" wrapText="1"/>
    </xf>
    <xf numFmtId="0" fontId="0" fillId="12" borderId="0" xfId="0" applyFill="1"/>
    <xf numFmtId="0" fontId="0" fillId="19" borderId="0" xfId="0" applyFill="1"/>
    <xf numFmtId="17" fontId="0" fillId="0" borderId="0" xfId="0" applyNumberFormat="1"/>
    <xf numFmtId="0" fontId="25" fillId="12" borderId="29" xfId="0" applyFont="1" applyFill="1" applyBorder="1" applyAlignment="1">
      <alignment horizontal="center" vertical="center" wrapText="1"/>
    </xf>
    <xf numFmtId="0" fontId="32" fillId="12" borderId="29" xfId="0" applyFont="1" applyFill="1" applyBorder="1" applyAlignment="1">
      <alignment horizontal="center" vertical="center" wrapText="1"/>
    </xf>
    <xf numFmtId="0" fontId="27" fillId="12" borderId="11" xfId="0" applyFont="1" applyFill="1" applyBorder="1" applyAlignment="1">
      <alignment horizontal="center" vertical="center" wrapText="1"/>
    </xf>
    <xf numFmtId="0" fontId="27" fillId="12" borderId="13" xfId="0" applyFont="1" applyFill="1" applyBorder="1" applyAlignment="1">
      <alignment horizontal="center" vertical="center" wrapText="1"/>
    </xf>
    <xf numFmtId="0" fontId="27" fillId="12" borderId="13" xfId="0" applyFont="1" applyFill="1" applyBorder="1" applyAlignment="1">
      <alignment horizontal="center" vertical="top"/>
    </xf>
    <xf numFmtId="0" fontId="27" fillId="12" borderId="13" xfId="0" applyFont="1" applyFill="1" applyBorder="1" applyAlignment="1">
      <alignment horizontal="center" vertical="top" wrapText="1"/>
    </xf>
    <xf numFmtId="0" fontId="34" fillId="12" borderId="1" xfId="0" applyFont="1" applyFill="1" applyBorder="1" applyAlignment="1">
      <alignment horizontal="center" vertical="center" wrapText="1"/>
    </xf>
    <xf numFmtId="0" fontId="34" fillId="12" borderId="1" xfId="0" applyFont="1" applyFill="1" applyBorder="1" applyAlignment="1">
      <alignment horizontal="center" vertical="center"/>
    </xf>
    <xf numFmtId="0" fontId="51" fillId="12" borderId="0" xfId="0" applyFont="1" applyFill="1" applyAlignment="1">
      <alignment horizontal="center" vertical="center" textRotation="255" wrapText="1"/>
    </xf>
    <xf numFmtId="0" fontId="50" fillId="0" borderId="0" xfId="0" applyFont="1" applyAlignment="1">
      <alignment horizontal="center" vertical="center" textRotation="255"/>
    </xf>
    <xf numFmtId="0" fontId="50" fillId="20" borderId="0" xfId="0" applyFont="1" applyFill="1" applyAlignment="1">
      <alignment horizontal="center" vertical="center" textRotation="255"/>
    </xf>
    <xf numFmtId="0" fontId="27" fillId="0" borderId="1"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 xfId="0" applyFont="1" applyBorder="1" applyAlignment="1">
      <alignment horizontal="center" vertical="top" wrapText="1"/>
    </xf>
    <xf numFmtId="0" fontId="27" fillId="0" borderId="1" xfId="0" applyFont="1" applyBorder="1" applyAlignment="1">
      <alignment horizontal="left" vertical="center" wrapText="1"/>
    </xf>
    <xf numFmtId="0" fontId="45" fillId="6" borderId="39" xfId="0" applyFont="1" applyFill="1" applyBorder="1" applyAlignment="1">
      <alignment horizontal="center" vertical="center"/>
    </xf>
    <xf numFmtId="0" fontId="34" fillId="0" borderId="1" xfId="0" applyFont="1" applyBorder="1" applyAlignment="1">
      <alignment horizontal="center" vertical="center" wrapText="1"/>
    </xf>
    <xf numFmtId="0" fontId="34" fillId="0" borderId="1" xfId="52" applyFont="1" applyFill="1" applyBorder="1" applyAlignment="1">
      <alignment horizontal="center" vertical="center" wrapText="1"/>
    </xf>
    <xf numFmtId="0" fontId="34" fillId="0" borderId="35" xfId="0" applyFont="1" applyBorder="1" applyAlignment="1">
      <alignment horizontal="center" vertical="center" wrapText="1"/>
    </xf>
    <xf numFmtId="0" fontId="34" fillId="0" borderId="37" xfId="0" applyFont="1" applyBorder="1" applyAlignment="1">
      <alignment horizontal="center" vertical="center" wrapText="1"/>
    </xf>
    <xf numFmtId="0" fontId="34" fillId="0" borderId="36" xfId="0" applyFont="1" applyBorder="1" applyAlignment="1">
      <alignment horizontal="center" vertical="center" wrapText="1"/>
    </xf>
    <xf numFmtId="0" fontId="34" fillId="0" borderId="1" xfId="0" applyFont="1" applyBorder="1" applyAlignment="1">
      <alignment horizontal="center" vertical="center"/>
    </xf>
    <xf numFmtId="0" fontId="34" fillId="9" borderId="10"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35" fillId="0" borderId="9"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38" xfId="0" applyFont="1" applyBorder="1" applyAlignment="1">
      <alignment horizontal="center" vertical="center" wrapText="1"/>
    </xf>
    <xf numFmtId="0" fontId="35" fillId="6" borderId="10"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27" fillId="6" borderId="10"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1" xfId="0" applyFont="1" applyFill="1" applyBorder="1" applyAlignment="1">
      <alignment horizontal="left" vertical="center" wrapText="1"/>
    </xf>
    <xf numFmtId="0" fontId="27" fillId="8"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27" fillId="12" borderId="1"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27" fillId="8" borderId="39"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33" fillId="20" borderId="9" xfId="0" applyFont="1" applyFill="1" applyBorder="1" applyAlignment="1">
      <alignment horizontal="center" vertical="center"/>
    </xf>
    <xf numFmtId="0" fontId="33" fillId="20" borderId="12" xfId="0" applyFont="1" applyFill="1" applyBorder="1" applyAlignment="1">
      <alignment horizontal="center" vertical="center"/>
    </xf>
    <xf numFmtId="0" fontId="33" fillId="20" borderId="38" xfId="0" applyFont="1" applyFill="1" applyBorder="1" applyAlignment="1">
      <alignment horizontal="center" vertical="center"/>
    </xf>
    <xf numFmtId="0" fontId="33" fillId="6" borderId="10"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4" fillId="6" borderId="10" xfId="0" applyFont="1" applyFill="1" applyBorder="1" applyAlignment="1">
      <alignment horizontal="center" vertical="center" wrapText="1"/>
    </xf>
    <xf numFmtId="0" fontId="27" fillId="0" borderId="9"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38" xfId="0" applyFont="1" applyBorder="1" applyAlignment="1">
      <alignment horizontal="center" vertical="center" wrapText="1"/>
    </xf>
    <xf numFmtId="0" fontId="27" fillId="6" borderId="39" xfId="0" applyFont="1" applyFill="1" applyBorder="1" applyAlignment="1">
      <alignment horizontal="center" vertical="center" wrapText="1"/>
    </xf>
    <xf numFmtId="0" fontId="33" fillId="0" borderId="1" xfId="0" applyFont="1" applyBorder="1" applyAlignment="1">
      <alignment horizontal="center" vertical="center" wrapText="1"/>
    </xf>
    <xf numFmtId="0" fontId="33" fillId="0" borderId="39" xfId="0" applyFont="1" applyBorder="1" applyAlignment="1">
      <alignment horizontal="center" vertical="center" wrapText="1"/>
    </xf>
    <xf numFmtId="0" fontId="25" fillId="8" borderId="1" xfId="0" applyFont="1" applyFill="1" applyBorder="1" applyAlignment="1">
      <alignment horizontal="center" vertical="center" wrapText="1"/>
    </xf>
    <xf numFmtId="0" fontId="25" fillId="8" borderId="39" xfId="0" applyFont="1" applyFill="1" applyBorder="1" applyAlignment="1">
      <alignment horizontal="center" vertical="center" wrapText="1"/>
    </xf>
    <xf numFmtId="0" fontId="25" fillId="0" borderId="9"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1" xfId="0" applyFont="1" applyBorder="1" applyAlignment="1">
      <alignment horizontal="center" vertical="center" wrapText="1"/>
    </xf>
    <xf numFmtId="0" fontId="25" fillId="6" borderId="1" xfId="0" applyFont="1" applyFill="1" applyBorder="1" applyAlignment="1">
      <alignment horizontal="center" vertical="center" wrapText="1"/>
    </xf>
    <xf numFmtId="0" fontId="25" fillId="6" borderId="39" xfId="0" applyFont="1" applyFill="1" applyBorder="1" applyAlignment="1">
      <alignment horizontal="center" vertical="center" wrapText="1"/>
    </xf>
    <xf numFmtId="0" fontId="10" fillId="0" borderId="23" xfId="0" applyFont="1" applyBorder="1" applyAlignment="1">
      <alignment horizontal="center" vertical="top" wrapText="1"/>
    </xf>
    <xf numFmtId="0" fontId="10" fillId="0" borderId="16" xfId="0" applyFont="1" applyBorder="1" applyAlignment="1">
      <alignment horizontal="center" vertical="top" wrapText="1"/>
    </xf>
    <xf numFmtId="0" fontId="10" fillId="0" borderId="24" xfId="0" applyFont="1" applyBorder="1" applyAlignment="1">
      <alignment horizontal="center" vertical="top" wrapText="1"/>
    </xf>
    <xf numFmtId="0" fontId="10" fillId="0" borderId="25" xfId="0" applyFont="1" applyBorder="1" applyAlignment="1">
      <alignment horizontal="center" vertical="top" wrapText="1"/>
    </xf>
    <xf numFmtId="0" fontId="10" fillId="0" borderId="0" xfId="0" applyFont="1" applyAlignment="1">
      <alignment horizontal="center" vertical="top" wrapText="1"/>
    </xf>
    <xf numFmtId="0" fontId="10" fillId="0" borderId="4" xfId="0" applyFont="1" applyBorder="1" applyAlignment="1">
      <alignment horizontal="center" vertical="top" wrapText="1"/>
    </xf>
    <xf numFmtId="0" fontId="10" fillId="0" borderId="26" xfId="0" applyFont="1" applyBorder="1" applyAlignment="1">
      <alignment horizontal="center" vertical="top" wrapText="1"/>
    </xf>
    <xf numFmtId="0" fontId="10" fillId="0" borderId="7" xfId="0" applyFont="1" applyBorder="1" applyAlignment="1">
      <alignment horizontal="center" vertical="top" wrapText="1"/>
    </xf>
    <xf numFmtId="0" fontId="10" fillId="0" borderId="8" xfId="0" applyFont="1" applyBorder="1" applyAlignment="1">
      <alignment horizontal="center" vertical="top" wrapText="1"/>
    </xf>
    <xf numFmtId="0" fontId="10"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10" fillId="0" borderId="12" xfId="0" applyFont="1" applyBorder="1" applyAlignment="1">
      <alignment horizontal="center" vertical="top" wrapText="1"/>
    </xf>
    <xf numFmtId="0" fontId="10" fillId="0" borderId="1" xfId="0" applyFont="1" applyBorder="1" applyAlignment="1">
      <alignment horizontal="center" vertical="top" wrapText="1"/>
    </xf>
    <xf numFmtId="0" fontId="10" fillId="0" borderId="13" xfId="0" applyFont="1" applyBorder="1" applyAlignment="1">
      <alignment horizontal="center" vertical="top" wrapText="1"/>
    </xf>
    <xf numFmtId="0" fontId="10" fillId="0" borderId="9" xfId="0" applyFont="1" applyBorder="1" applyAlignment="1">
      <alignment horizontal="center" vertical="top" wrapText="1"/>
    </xf>
    <xf numFmtId="0" fontId="10" fillId="0" borderId="10" xfId="0" applyFont="1" applyBorder="1" applyAlignment="1">
      <alignment horizontal="center" vertical="top" wrapText="1"/>
    </xf>
    <xf numFmtId="0" fontId="10" fillId="0" borderId="11" xfId="0" applyFont="1" applyBorder="1" applyAlignment="1">
      <alignment horizontal="center" vertical="top" wrapText="1"/>
    </xf>
    <xf numFmtId="0" fontId="10" fillId="2" borderId="12"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2" borderId="13" xfId="0" applyFont="1" applyFill="1" applyBorder="1" applyAlignment="1">
      <alignment horizontal="center" vertical="top" wrapText="1"/>
    </xf>
    <xf numFmtId="0" fontId="7" fillId="0" borderId="0" xfId="0" applyFont="1" applyAlignment="1">
      <alignment horizontal="center" vertical="top"/>
    </xf>
    <xf numFmtId="0" fontId="7" fillId="0" borderId="4" xfId="0" applyFont="1" applyBorder="1" applyAlignment="1">
      <alignment horizontal="center" vertical="top"/>
    </xf>
    <xf numFmtId="0" fontId="10" fillId="0" borderId="7" xfId="0" applyFont="1" applyBorder="1" applyAlignment="1">
      <alignment horizontal="center" vertical="top"/>
    </xf>
    <xf numFmtId="14" fontId="10" fillId="0" borderId="34" xfId="0" applyNumberFormat="1" applyFont="1" applyBorder="1" applyAlignment="1">
      <alignment horizontal="center" vertical="top" wrapText="1"/>
    </xf>
    <xf numFmtId="14" fontId="10" fillId="0" borderId="5" xfId="0" applyNumberFormat="1" applyFont="1" applyBorder="1" applyAlignment="1">
      <alignment horizontal="center" vertical="top" wrapText="1"/>
    </xf>
    <xf numFmtId="14" fontId="10" fillId="0" borderId="6" xfId="0" applyNumberFormat="1" applyFont="1" applyBorder="1" applyAlignment="1">
      <alignment horizontal="center" vertical="top" wrapText="1"/>
    </xf>
    <xf numFmtId="0" fontId="18" fillId="4" borderId="2" xfId="0" applyFont="1" applyFill="1" applyBorder="1" applyAlignment="1">
      <alignment horizontal="center" vertical="center" wrapText="1"/>
    </xf>
    <xf numFmtId="0" fontId="18" fillId="4" borderId="27"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47" fillId="7" borderId="0" xfId="0" applyFont="1" applyFill="1" applyAlignment="1">
      <alignment horizontal="center" vertical="center" textRotation="255"/>
    </xf>
    <xf numFmtId="0" fontId="10" fillId="2" borderId="25"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4" xfId="0" applyFont="1" applyFill="1" applyBorder="1" applyAlignment="1">
      <alignment horizontal="center" vertical="top" wrapText="1"/>
    </xf>
    <xf numFmtId="0" fontId="4" fillId="0" borderId="35" xfId="53" applyFill="1" applyBorder="1" applyAlignment="1">
      <alignment horizontal="center" vertical="center" wrapText="1"/>
    </xf>
    <xf numFmtId="0" fontId="4" fillId="0" borderId="36" xfId="53" applyFill="1" applyBorder="1" applyAlignment="1">
      <alignment horizontal="center" vertical="center" wrapText="1"/>
    </xf>
    <xf numFmtId="0" fontId="4" fillId="0" borderId="35" xfId="53" applyFill="1" applyBorder="1" applyAlignment="1">
      <alignment horizontal="center" vertical="center"/>
    </xf>
    <xf numFmtId="0" fontId="4" fillId="0" borderId="37" xfId="53" applyFill="1" applyBorder="1" applyAlignment="1">
      <alignment horizontal="center" vertical="center"/>
    </xf>
    <xf numFmtId="0" fontId="4" fillId="0" borderId="36" xfId="53" applyFill="1" applyBorder="1" applyAlignment="1">
      <alignment horizontal="center" vertical="center"/>
    </xf>
    <xf numFmtId="0" fontId="25" fillId="12" borderId="30" xfId="0" applyFont="1" applyFill="1" applyBorder="1" applyAlignment="1">
      <alignment horizontal="center" vertical="center" wrapText="1"/>
    </xf>
    <xf numFmtId="0" fontId="25" fillId="12" borderId="31" xfId="0" applyFont="1" applyFill="1" applyBorder="1" applyAlignment="1">
      <alignment horizontal="center" vertical="center" wrapText="1"/>
    </xf>
    <xf numFmtId="0" fontId="25" fillId="12" borderId="32" xfId="0" applyFont="1" applyFill="1" applyBorder="1" applyAlignment="1">
      <alignment horizontal="center" vertical="center" wrapText="1"/>
    </xf>
    <xf numFmtId="0" fontId="27" fillId="6" borderId="10" xfId="0" applyFont="1" applyFill="1" applyBorder="1" applyAlignment="1">
      <alignment horizontal="left" vertical="center" wrapText="1"/>
    </xf>
    <xf numFmtId="0" fontId="27" fillId="0" borderId="35" xfId="0" applyFont="1" applyBorder="1" applyAlignment="1">
      <alignment horizontal="center" vertical="top"/>
    </xf>
    <xf numFmtId="0" fontId="27" fillId="0" borderId="36" xfId="0" applyFont="1" applyBorder="1" applyAlignment="1">
      <alignment horizontal="center" vertical="top"/>
    </xf>
    <xf numFmtId="0" fontId="34" fillId="0" borderId="42" xfId="0" applyFont="1" applyBorder="1" applyAlignment="1">
      <alignment horizontal="center" vertical="center" wrapText="1"/>
    </xf>
    <xf numFmtId="0" fontId="4" fillId="0" borderId="35" xfId="53" applyBorder="1" applyAlignment="1">
      <alignment horizontal="center" vertical="center"/>
    </xf>
    <xf numFmtId="0" fontId="4" fillId="0" borderId="37" xfId="53" applyBorder="1" applyAlignment="1">
      <alignment horizontal="center" vertical="center"/>
    </xf>
    <xf numFmtId="0" fontId="46" fillId="0" borderId="0" xfId="0" applyFont="1" applyAlignment="1">
      <alignment horizontal="center" vertical="center" textRotation="255" wrapText="1"/>
    </xf>
    <xf numFmtId="0" fontId="51" fillId="19" borderId="0" xfId="0" applyFont="1" applyFill="1" applyAlignment="1">
      <alignment horizontal="center" vertical="center" textRotation="255" wrapText="1"/>
    </xf>
    <xf numFmtId="0" fontId="49" fillId="0" borderId="2" xfId="0" applyFont="1" applyBorder="1" applyAlignment="1">
      <alignment horizontal="left" vertical="center" wrapText="1"/>
    </xf>
    <xf numFmtId="0" fontId="49" fillId="0" borderId="27" xfId="0" applyFont="1" applyBorder="1" applyAlignment="1">
      <alignment horizontal="left" vertical="center"/>
    </xf>
    <xf numFmtId="0" fontId="49" fillId="0" borderId="3" xfId="0" applyFont="1" applyBorder="1" applyAlignment="1">
      <alignment horizontal="left" vertical="center"/>
    </xf>
    <xf numFmtId="0" fontId="25" fillId="0" borderId="2" xfId="0" applyFont="1" applyBorder="1" applyAlignment="1">
      <alignment horizontal="left" vertical="center" wrapText="1"/>
    </xf>
    <xf numFmtId="0" fontId="25" fillId="0" borderId="27" xfId="0" applyFont="1" applyBorder="1" applyAlignment="1">
      <alignment horizontal="left" vertical="center"/>
    </xf>
    <xf numFmtId="0" fontId="25" fillId="0" borderId="3" xfId="0" applyFont="1" applyBorder="1" applyAlignment="1">
      <alignment horizontal="left" vertical="center"/>
    </xf>
    <xf numFmtId="0" fontId="27" fillId="0" borderId="2"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3" xfId="0" applyFont="1" applyBorder="1" applyAlignment="1">
      <alignment horizontal="center" vertical="center" wrapText="1"/>
    </xf>
    <xf numFmtId="0" fontId="0" fillId="0" borderId="2" xfId="0" applyBorder="1" applyAlignment="1">
      <alignment horizontal="center" vertical="top" wrapText="1"/>
    </xf>
    <xf numFmtId="0" fontId="0" fillId="0" borderId="27" xfId="0" applyBorder="1" applyAlignment="1">
      <alignment horizontal="center" vertical="top"/>
    </xf>
    <xf numFmtId="0" fontId="0" fillId="0" borderId="3" xfId="0" applyBorder="1" applyAlignment="1">
      <alignment horizontal="center" vertical="top"/>
    </xf>
    <xf numFmtId="0" fontId="0" fillId="0" borderId="2" xfId="0" applyBorder="1" applyAlignment="1">
      <alignment horizontal="center" wrapText="1"/>
    </xf>
    <xf numFmtId="0" fontId="0" fillId="0" borderId="27" xfId="0" applyBorder="1" applyAlignment="1">
      <alignment horizontal="center"/>
    </xf>
    <xf numFmtId="0" fontId="0" fillId="0" borderId="3" xfId="0"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xf>
    <xf numFmtId="0" fontId="27" fillId="0" borderId="40" xfId="0" applyFont="1" applyBorder="1" applyAlignment="1">
      <alignment horizontal="center" vertical="center" wrapText="1"/>
    </xf>
    <xf numFmtId="0" fontId="47" fillId="21" borderId="0" xfId="0" applyFont="1" applyFill="1" applyAlignment="1">
      <alignment horizontal="center" vertical="center" textRotation="255"/>
    </xf>
    <xf numFmtId="0" fontId="47" fillId="18" borderId="0" xfId="0" applyFont="1" applyFill="1" applyAlignment="1">
      <alignment horizontal="center" vertical="center" textRotation="255"/>
    </xf>
    <xf numFmtId="0" fontId="48" fillId="22" borderId="0" xfId="0" applyFont="1" applyFill="1" applyAlignment="1">
      <alignment horizontal="center" vertical="center" textRotation="255"/>
    </xf>
    <xf numFmtId="0" fontId="47" fillId="19" borderId="0" xfId="0" applyFont="1" applyFill="1" applyAlignment="1">
      <alignment horizontal="center" vertical="center" textRotation="255"/>
    </xf>
    <xf numFmtId="0" fontId="46" fillId="0" borderId="0" xfId="0" applyFont="1" applyAlignment="1">
      <alignment horizontal="center" vertical="center" textRotation="255"/>
    </xf>
    <xf numFmtId="0" fontId="27" fillId="7" borderId="1"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23" fillId="0" borderId="17" xfId="0" applyFont="1" applyBorder="1" applyAlignment="1">
      <alignment horizontal="center" vertical="center"/>
    </xf>
    <xf numFmtId="0" fontId="23" fillId="0" borderId="16"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13" fillId="0" borderId="14"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4" xfId="0" applyFont="1" applyBorder="1" applyAlignment="1">
      <alignment horizontal="left" vertical="center" wrapText="1"/>
    </xf>
    <xf numFmtId="0" fontId="13" fillId="0" borderId="22" xfId="0" applyFont="1" applyBorder="1" applyAlignment="1">
      <alignment horizontal="left" vertical="center" wrapText="1"/>
    </xf>
    <xf numFmtId="0" fontId="13" fillId="0" borderId="15" xfId="0" applyFont="1" applyBorder="1" applyAlignment="1">
      <alignment horizontal="left" vertical="center" wrapText="1"/>
    </xf>
    <xf numFmtId="0" fontId="23" fillId="0" borderId="14" xfId="0" applyFont="1" applyBorder="1" applyAlignment="1">
      <alignment horizontal="center" vertical="center"/>
    </xf>
    <xf numFmtId="0" fontId="23" fillId="0" borderId="22" xfId="0" applyFont="1" applyBorder="1" applyAlignment="1">
      <alignment horizontal="center" vertical="center"/>
    </xf>
    <xf numFmtId="0" fontId="23" fillId="0" borderId="15" xfId="0" applyFont="1" applyBorder="1" applyAlignment="1">
      <alignment horizontal="center" vertical="center"/>
    </xf>
    <xf numFmtId="0" fontId="13" fillId="0" borderId="1" xfId="0" applyFont="1" applyBorder="1" applyAlignment="1">
      <alignment horizontal="left" vertical="center" wrapText="1"/>
    </xf>
    <xf numFmtId="0" fontId="3" fillId="0" borderId="1" xfId="0" applyFont="1" applyBorder="1" applyAlignment="1">
      <alignment horizontal="left" vertical="center" wrapText="1"/>
    </xf>
    <xf numFmtId="0" fontId="13" fillId="0" borderId="1" xfId="0" applyFont="1" applyBorder="1" applyAlignment="1">
      <alignment horizontal="center" vertical="center" wrapText="1"/>
    </xf>
    <xf numFmtId="0" fontId="24" fillId="3" borderId="1" xfId="0" applyFont="1" applyFill="1" applyBorder="1" applyAlignment="1">
      <alignment horizontal="center"/>
    </xf>
    <xf numFmtId="0" fontId="24" fillId="3" borderId="1" xfId="0" applyFont="1" applyFill="1" applyBorder="1" applyAlignment="1">
      <alignment horizontal="center" vertical="center"/>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3" borderId="2" xfId="0" applyFont="1" applyFill="1" applyBorder="1" applyAlignment="1">
      <alignment horizontal="center"/>
    </xf>
    <xf numFmtId="0" fontId="12" fillId="0" borderId="1" xfId="0" applyFont="1" applyBorder="1" applyAlignment="1">
      <alignment horizontal="left" vertical="top" wrapText="1"/>
    </xf>
    <xf numFmtId="0" fontId="13" fillId="0" borderId="1" xfId="0" applyFont="1" applyBorder="1" applyAlignment="1">
      <alignment horizontal="left"/>
    </xf>
  </cellXfs>
  <cellStyles count="54">
    <cellStyle name="40% - Énfasis6" xfId="52" builtinId="51"/>
    <cellStyle name="Hipervínculo" xfId="21" builtinId="8" hidden="1"/>
    <cellStyle name="Hipervínculo" xfId="11" builtinId="8" hidden="1"/>
    <cellStyle name="Hipervínculo" xfId="47" builtinId="8" hidden="1"/>
    <cellStyle name="Hipervínculo" xfId="37" builtinId="8" hidden="1"/>
    <cellStyle name="Hipervínculo" xfId="43" builtinId="8" hidden="1"/>
    <cellStyle name="Hipervínculo" xfId="45" builtinId="8" hidden="1"/>
    <cellStyle name="Hipervínculo" xfId="41" builtinId="8" hidden="1"/>
    <cellStyle name="Hipervínculo" xfId="29" builtinId="8" hidden="1"/>
    <cellStyle name="Hipervínculo" xfId="33" builtinId="8" hidden="1"/>
    <cellStyle name="Hipervínculo" xfId="25" builtinId="8" hidden="1"/>
    <cellStyle name="Hipervínculo" xfId="27" builtinId="8" hidden="1"/>
    <cellStyle name="Hipervínculo" xfId="49" builtinId="8" hidden="1"/>
    <cellStyle name="Hipervínculo" xfId="35" builtinId="8" hidden="1"/>
    <cellStyle name="Hipervínculo" xfId="5" builtinId="8" hidden="1"/>
    <cellStyle name="Hipervínculo" xfId="17" builtinId="8" hidden="1"/>
    <cellStyle name="Hipervínculo" xfId="19" builtinId="8" hidden="1"/>
    <cellStyle name="Hipervínculo" xfId="7" builtinId="8" hidden="1"/>
    <cellStyle name="Hipervínculo" xfId="9" builtinId="8" hidden="1"/>
    <cellStyle name="Hipervínculo" xfId="3" builtinId="8" hidden="1"/>
    <cellStyle name="Hipervínculo" xfId="15" builtinId="8" hidden="1"/>
    <cellStyle name="Hipervínculo" xfId="23" builtinId="8" hidden="1"/>
    <cellStyle name="Hipervínculo" xfId="13" builtinId="8" hidden="1"/>
    <cellStyle name="Hipervínculo" xfId="31" builtinId="8" hidden="1"/>
    <cellStyle name="Hipervínculo" xfId="39" builtinId="8" hidden="1"/>
    <cellStyle name="Hipervínculo" xfId="53" builtinId="8"/>
    <cellStyle name="Hipervínculo visitado" xfId="22" builtinId="9" hidden="1"/>
    <cellStyle name="Hipervínculo visitado" xfId="20" builtinId="9" hidden="1"/>
    <cellStyle name="Hipervínculo visitado" xfId="46" builtinId="9" hidden="1"/>
    <cellStyle name="Hipervínculo visitado" xfId="42" builtinId="9" hidden="1"/>
    <cellStyle name="Hipervínculo visitado" xfId="44" builtinId="9" hidden="1"/>
    <cellStyle name="Hipervínculo visitado" xfId="28" builtinId="9" hidden="1"/>
    <cellStyle name="Hipervínculo visitado" xfId="30" builtinId="9" hidden="1"/>
    <cellStyle name="Hipervínculo visitado" xfId="34" builtinId="9" hidden="1"/>
    <cellStyle name="Hipervínculo visitado" xfId="36" builtinId="9" hidden="1"/>
    <cellStyle name="Hipervínculo visitado" xfId="32" builtinId="9" hidden="1"/>
    <cellStyle name="Hipervínculo visitado" xfId="12" builtinId="9" hidden="1"/>
    <cellStyle name="Hipervínculo visitado" xfId="38" builtinId="9" hidden="1"/>
    <cellStyle name="Hipervínculo visitado" xfId="50" builtinId="9" hidden="1"/>
    <cellStyle name="Hipervínculo visitado" xfId="48" builtinId="9" hidden="1"/>
    <cellStyle name="Hipervínculo visitado" xfId="40" builtinId="9" hidden="1"/>
    <cellStyle name="Hipervínculo visitado" xfId="10" builtinId="9" hidden="1"/>
    <cellStyle name="Hipervínculo visitado" xfId="4" builtinId="9" hidden="1"/>
    <cellStyle name="Hipervínculo visitado" xfId="8" builtinId="9" hidden="1"/>
    <cellStyle name="Hipervínculo visitado" xfId="24" builtinId="9" hidden="1"/>
    <cellStyle name="Hipervínculo visitado" xfId="26" builtinId="9" hidden="1"/>
    <cellStyle name="Hipervínculo visitado" xfId="14" builtinId="9" hidden="1"/>
    <cellStyle name="Hipervínculo visitado" xfId="16" builtinId="9" hidden="1"/>
    <cellStyle name="Hipervínculo visitado" xfId="6" builtinId="9" hidden="1"/>
    <cellStyle name="Hipervínculo visitado" xfId="18" builtinId="9" hidden="1"/>
    <cellStyle name="Normal" xfId="0" builtinId="0"/>
    <cellStyle name="Normal 2 2" xfId="1" xr:uid="{00000000-0005-0000-0000-000031000000}"/>
    <cellStyle name="Normal 4" xfId="2" xr:uid="{00000000-0005-0000-0000-000032000000}"/>
    <cellStyle name="Porcentaje" xfId="5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8</xdr:col>
      <xdr:colOff>811357</xdr:colOff>
      <xdr:row>0</xdr:row>
      <xdr:rowOff>277957</xdr:rowOff>
    </xdr:from>
    <xdr:to>
      <xdr:col>8</xdr:col>
      <xdr:colOff>1512891</xdr:colOff>
      <xdr:row>1</xdr:row>
      <xdr:rowOff>294658</xdr:rowOff>
    </xdr:to>
    <xdr:pic>
      <xdr:nvPicPr>
        <xdr:cNvPr id="3" name="Imagen 2">
          <a:extLst>
            <a:ext uri="{FF2B5EF4-FFF2-40B4-BE49-F238E27FC236}">
              <a16:creationId xmlns:a16="http://schemas.microsoft.com/office/drawing/2014/main" id="{9A3E68FD-6B02-485A-873F-72B5324FFB4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8465993" y="277957"/>
          <a:ext cx="704252" cy="6547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416718</xdr:colOff>
      <xdr:row>0</xdr:row>
      <xdr:rowOff>160564</xdr:rowOff>
    </xdr:from>
    <xdr:to>
      <xdr:col>4</xdr:col>
      <xdr:colOff>1316574</xdr:colOff>
      <xdr:row>1</xdr:row>
      <xdr:rowOff>567786</xdr:rowOff>
    </xdr:to>
    <xdr:pic>
      <xdr:nvPicPr>
        <xdr:cNvPr id="2" name="Imagen 1">
          <a:extLst>
            <a:ext uri="{FF2B5EF4-FFF2-40B4-BE49-F238E27FC236}">
              <a16:creationId xmlns:a16="http://schemas.microsoft.com/office/drawing/2014/main" id="{F6FEF9BE-6820-46BC-AA4A-21B611E178C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0822781" y="160564"/>
          <a:ext cx="899856" cy="87156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guel Angel Tejedor Mendoza" id="{FAD03AB6-0288-479B-9A16-712BDE0D01E2}" userId="S::tejedor63@soy.sena.edu.co::acc22970-b223-4845-b58b-1e651ac78b5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5" dT="2024-03-07T14:48:19.05" personId="{FAD03AB6-0288-479B-9A16-712BDE0D01E2}" id="{685BC17B-3F43-4457-8E44-E892DBF62E04}">
    <text>Guia 27 y 28</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f:/g/personal/tejedor63_soy_sena_edu_co/EhDANjpK_gxIpX5MW5xa7c0BWK_KYWQchgiv0TKFlrng9A?e=wgcceh" TargetMode="External"/><Relationship Id="rId7" Type="http://schemas.openxmlformats.org/officeDocument/2006/relationships/drawing" Target="../drawings/drawing1.xml"/><Relationship Id="rId2" Type="http://schemas.openxmlformats.org/officeDocument/2006/relationships/hyperlink" Target="../../../../../:f:/g/personal/tejedor63_soy_sena_edu_co/Ejiaf5Llq3FOgzJCo6o6sQEBBEVamV1B3oWTy1fthJDJiQ?e=qISwvb" TargetMode="External"/><Relationship Id="rId1" Type="http://schemas.openxmlformats.org/officeDocument/2006/relationships/hyperlink" Target="../../../../../:f:/g/personal/tejedor63_soy_sena_edu_co/EkTcaGYL21JGoXDWZLIBnwUB61qYzvHaTXqElzHF4X_80A?e=yT8vnN" TargetMode="External"/><Relationship Id="rId6" Type="http://schemas.openxmlformats.org/officeDocument/2006/relationships/printerSettings" Target="../printerSettings/printerSettings1.bin"/><Relationship Id="rId11" Type="http://schemas.microsoft.com/office/2017/10/relationships/threadedComment" Target="../threadedComments/threadedComment1.xml"/><Relationship Id="rId5" Type="http://schemas.openxmlformats.org/officeDocument/2006/relationships/hyperlink" Target="../../../../../:f:/g/personal/tejedor63_soy_sena_edu_co/Ejx63BufkJ1FtD-MCSGtrKIBH2MrLO0NzGMjMmG_80N8GQ?e=YFN2ri" TargetMode="External"/><Relationship Id="rId10" Type="http://schemas.openxmlformats.org/officeDocument/2006/relationships/comments" Target="../comments1.xml"/><Relationship Id="rId4" Type="http://schemas.openxmlformats.org/officeDocument/2006/relationships/hyperlink" Target="../../../../../:f:/g/personal/tejedor63_soy_sena_edu_co/ElruRE60KwBOtEPEezFy_Q0BZcfRQ0OFrKR_-kmugKZJLA?e=Q8CBA7" TargetMode="External"/><Relationship Id="rId9"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4"/>
  <sheetViews>
    <sheetView showGridLines="0" tabSelected="1" view="pageBreakPreview" topLeftCell="B91" zoomScale="69" zoomScaleNormal="70" zoomScaleSheetLayoutView="55" zoomScalePageLayoutView="55" workbookViewId="0">
      <selection activeCell="D91" sqref="D91:D95"/>
    </sheetView>
  </sheetViews>
  <sheetFormatPr baseColWidth="10" defaultColWidth="11.46484375" defaultRowHeight="14.25" x14ac:dyDescent="0.45"/>
  <cols>
    <col min="1" max="2" width="18" customWidth="1"/>
    <col min="3" max="3" width="18.46484375" customWidth="1"/>
    <col min="4" max="7" width="35.46484375" customWidth="1"/>
    <col min="8" max="9" width="25.46484375" customWidth="1"/>
    <col min="10" max="11" width="26" customWidth="1"/>
    <col min="12" max="12" width="22.46484375" customWidth="1"/>
    <col min="14" max="14" width="16" customWidth="1"/>
    <col min="15" max="15" width="19.46484375" customWidth="1"/>
    <col min="16" max="16" width="18.9296875" customWidth="1"/>
  </cols>
  <sheetData>
    <row r="1" spans="1:23" ht="50.25" customHeight="1" x14ac:dyDescent="0.45">
      <c r="A1" s="229"/>
      <c r="B1" s="229"/>
      <c r="C1" s="229"/>
      <c r="D1" s="229"/>
      <c r="E1" s="229"/>
      <c r="F1" s="229"/>
      <c r="G1" s="229"/>
      <c r="H1" s="229"/>
      <c r="I1" s="229"/>
      <c r="J1" s="229"/>
      <c r="K1" s="229"/>
      <c r="L1" s="229"/>
      <c r="M1" s="229"/>
      <c r="N1" s="229"/>
      <c r="O1" s="229"/>
      <c r="P1" s="13" t="s">
        <v>0</v>
      </c>
    </row>
    <row r="2" spans="1:23" ht="50.25" customHeight="1" x14ac:dyDescent="0.45">
      <c r="A2" s="229"/>
      <c r="B2" s="229"/>
      <c r="C2" s="229"/>
      <c r="D2" s="229"/>
      <c r="E2" s="229"/>
      <c r="F2" s="229"/>
      <c r="G2" s="229"/>
      <c r="H2" s="229"/>
      <c r="I2" s="229"/>
      <c r="J2" s="229"/>
      <c r="K2" s="229"/>
      <c r="L2" s="229"/>
      <c r="M2" s="229"/>
      <c r="N2" s="229"/>
      <c r="O2" s="229"/>
      <c r="P2" s="14" t="s">
        <v>1</v>
      </c>
    </row>
    <row r="3" spans="1:23" ht="50.25" customHeight="1" x14ac:dyDescent="0.45">
      <c r="A3" s="230" t="s">
        <v>2</v>
      </c>
      <c r="B3" s="230"/>
      <c r="C3" s="230"/>
      <c r="D3" s="230"/>
      <c r="E3" s="230"/>
      <c r="F3" s="230"/>
      <c r="G3" s="230"/>
      <c r="H3" s="230"/>
      <c r="I3" s="230"/>
      <c r="J3" s="230"/>
      <c r="K3" s="230"/>
      <c r="L3" s="230"/>
      <c r="M3" s="230"/>
      <c r="N3" s="230"/>
      <c r="O3" s="230"/>
      <c r="P3" s="230"/>
    </row>
    <row r="4" spans="1:23" ht="50.25" customHeight="1" thickBot="1" x14ac:dyDescent="0.5">
      <c r="A4" s="230" t="s">
        <v>3</v>
      </c>
      <c r="B4" s="230"/>
      <c r="C4" s="230"/>
      <c r="D4" s="230"/>
      <c r="E4" s="230"/>
      <c r="F4" s="230"/>
      <c r="G4" s="230"/>
      <c r="H4" s="230"/>
      <c r="I4" s="230"/>
      <c r="J4" s="230"/>
      <c r="K4" s="230"/>
      <c r="L4" s="230"/>
      <c r="M4" s="230"/>
      <c r="N4" s="230"/>
      <c r="O4" s="230"/>
      <c r="P4" s="230"/>
    </row>
    <row r="5" spans="1:23" ht="60" customHeight="1" x14ac:dyDescent="0.45">
      <c r="A5" s="234" t="s">
        <v>4</v>
      </c>
      <c r="B5" s="235"/>
      <c r="C5" s="235"/>
      <c r="D5" s="236"/>
      <c r="E5" s="243">
        <v>45678</v>
      </c>
      <c r="F5" s="244"/>
      <c r="G5" s="244"/>
      <c r="H5" s="244"/>
      <c r="I5" s="244"/>
      <c r="J5" s="244"/>
      <c r="K5" s="244"/>
      <c r="L5" s="244"/>
      <c r="M5" s="244"/>
      <c r="N5" s="244"/>
      <c r="O5" s="244"/>
      <c r="P5" s="245"/>
      <c r="Q5" s="1"/>
      <c r="R5" s="1"/>
      <c r="S5" s="1"/>
      <c r="T5" s="1"/>
      <c r="U5" s="1"/>
      <c r="V5" s="1"/>
      <c r="W5" s="1"/>
    </row>
    <row r="6" spans="1:23" ht="60" customHeight="1" x14ac:dyDescent="0.45">
      <c r="A6" s="231" t="s">
        <v>5</v>
      </c>
      <c r="B6" s="232"/>
      <c r="C6" s="232"/>
      <c r="D6" s="233"/>
      <c r="E6" s="223" t="s">
        <v>6</v>
      </c>
      <c r="F6" s="224"/>
      <c r="G6" s="224"/>
      <c r="H6" s="224"/>
      <c r="I6" s="224"/>
      <c r="J6" s="224"/>
      <c r="K6" s="224"/>
      <c r="L6" s="224"/>
      <c r="M6" s="224"/>
      <c r="N6" s="224"/>
      <c r="O6" s="224"/>
      <c r="P6" s="225"/>
      <c r="Q6" s="1"/>
      <c r="R6" s="1"/>
      <c r="S6" s="1"/>
      <c r="T6" s="1"/>
      <c r="U6" s="1"/>
      <c r="V6" s="1"/>
      <c r="W6" s="1"/>
    </row>
    <row r="7" spans="1:23" ht="60" customHeight="1" x14ac:dyDescent="0.45">
      <c r="A7" s="231" t="s">
        <v>7</v>
      </c>
      <c r="B7" s="232"/>
      <c r="C7" s="232"/>
      <c r="D7" s="233"/>
      <c r="E7" s="223" t="s">
        <v>8</v>
      </c>
      <c r="F7" s="224"/>
      <c r="G7" s="224"/>
      <c r="H7" s="224"/>
      <c r="I7" s="224"/>
      <c r="J7" s="224"/>
      <c r="K7" s="224"/>
      <c r="L7" s="224"/>
      <c r="M7" s="224"/>
      <c r="N7" s="224"/>
      <c r="O7" s="224"/>
      <c r="P7" s="225"/>
      <c r="Q7" s="1"/>
      <c r="R7" s="1"/>
      <c r="S7" s="1"/>
      <c r="T7" s="1"/>
      <c r="U7" s="1"/>
      <c r="V7" s="1"/>
      <c r="W7" s="1"/>
    </row>
    <row r="8" spans="1:23" ht="60" customHeight="1" x14ac:dyDescent="0.45">
      <c r="A8" s="231" t="s">
        <v>9</v>
      </c>
      <c r="B8" s="232"/>
      <c r="C8" s="232"/>
      <c r="D8" s="233"/>
      <c r="E8" s="223" t="s">
        <v>10</v>
      </c>
      <c r="F8" s="224"/>
      <c r="G8" s="224"/>
      <c r="H8" s="224"/>
      <c r="I8" s="224"/>
      <c r="J8" s="224"/>
      <c r="K8" s="224"/>
      <c r="L8" s="224"/>
      <c r="M8" s="224"/>
      <c r="N8" s="224"/>
      <c r="O8" s="224"/>
      <c r="P8" s="225"/>
      <c r="Q8" s="1"/>
      <c r="R8" s="1"/>
      <c r="S8" s="1"/>
      <c r="T8" s="1"/>
      <c r="U8" s="1"/>
      <c r="V8" s="1"/>
      <c r="W8" s="1"/>
    </row>
    <row r="9" spans="1:23" ht="60" customHeight="1" x14ac:dyDescent="0.45">
      <c r="A9" s="237" t="s">
        <v>11</v>
      </c>
      <c r="B9" s="238"/>
      <c r="C9" s="238"/>
      <c r="D9" s="239"/>
      <c r="E9" s="254" t="s">
        <v>12</v>
      </c>
      <c r="F9" s="255"/>
      <c r="G9" s="255"/>
      <c r="H9" s="255"/>
      <c r="I9" s="255"/>
      <c r="J9" s="255"/>
      <c r="K9" s="255"/>
      <c r="L9" s="255"/>
      <c r="M9" s="255"/>
      <c r="N9" s="255"/>
      <c r="O9" s="255"/>
      <c r="P9" s="256"/>
      <c r="Q9" s="1"/>
      <c r="R9" s="1"/>
      <c r="S9" s="1"/>
      <c r="T9" s="1"/>
      <c r="U9" s="1"/>
      <c r="V9" s="1"/>
      <c r="W9" s="1"/>
    </row>
    <row r="10" spans="1:23" ht="60" customHeight="1" x14ac:dyDescent="0.45">
      <c r="A10" s="231" t="s">
        <v>13</v>
      </c>
      <c r="B10" s="232"/>
      <c r="C10" s="232"/>
      <c r="D10" s="233"/>
      <c r="E10" s="15"/>
      <c r="F10" s="15"/>
      <c r="G10" s="15"/>
      <c r="H10" s="240"/>
      <c r="I10" s="240"/>
      <c r="J10" s="240"/>
      <c r="K10" s="240"/>
      <c r="L10" s="240"/>
      <c r="M10" s="240"/>
      <c r="N10" s="240"/>
      <c r="O10" s="240"/>
      <c r="P10" s="241"/>
      <c r="Q10" s="1"/>
      <c r="R10" s="1"/>
      <c r="S10" s="1"/>
      <c r="T10" s="1"/>
      <c r="U10" s="1"/>
      <c r="V10" s="1"/>
      <c r="W10" s="1"/>
    </row>
    <row r="11" spans="1:23" ht="60" customHeight="1" thickBot="1" x14ac:dyDescent="0.5">
      <c r="A11" s="220" t="s">
        <v>14</v>
      </c>
      <c r="B11" s="221"/>
      <c r="C11" s="221"/>
      <c r="D11" s="222"/>
      <c r="E11" s="15"/>
      <c r="F11" s="15"/>
      <c r="G11" s="15"/>
      <c r="H11" s="242" t="s">
        <v>15</v>
      </c>
      <c r="I11" s="242"/>
      <c r="J11" s="242"/>
      <c r="K11" s="242"/>
      <c r="L11" s="242"/>
      <c r="M11" s="242"/>
      <c r="N11" s="227" t="s">
        <v>16</v>
      </c>
      <c r="O11" s="227"/>
      <c r="P11" s="228"/>
      <c r="Q11" s="1"/>
      <c r="R11" s="1"/>
      <c r="S11" s="1"/>
      <c r="T11" s="1"/>
      <c r="U11" s="1"/>
      <c r="V11" s="1"/>
      <c r="W11" s="1"/>
    </row>
    <row r="12" spans="1:23" ht="60" customHeight="1" thickBot="1" x14ac:dyDescent="0.5">
      <c r="A12" s="223"/>
      <c r="B12" s="224"/>
      <c r="C12" s="224"/>
      <c r="D12" s="225"/>
      <c r="E12" s="15"/>
      <c r="F12" s="15"/>
      <c r="G12" s="15"/>
      <c r="H12" s="242" t="s">
        <v>17</v>
      </c>
      <c r="I12" s="242"/>
      <c r="J12" s="242"/>
      <c r="K12" s="242"/>
      <c r="L12" s="242"/>
      <c r="M12" s="242"/>
      <c r="N12" s="227" t="s">
        <v>16</v>
      </c>
      <c r="O12" s="227"/>
      <c r="P12" s="228"/>
      <c r="Q12" s="1"/>
      <c r="R12" s="1"/>
      <c r="S12" s="1"/>
      <c r="T12" s="1"/>
      <c r="U12" s="1"/>
      <c r="V12" s="1"/>
      <c r="W12" s="1"/>
    </row>
    <row r="13" spans="1:23" ht="60" customHeight="1" thickBot="1" x14ac:dyDescent="0.5">
      <c r="A13" s="223"/>
      <c r="B13" s="224"/>
      <c r="C13" s="224"/>
      <c r="D13" s="225"/>
      <c r="E13" s="15"/>
      <c r="F13" s="15"/>
      <c r="G13" s="15"/>
      <c r="H13" s="242" t="s">
        <v>18</v>
      </c>
      <c r="I13" s="242"/>
      <c r="J13" s="242"/>
      <c r="K13" s="242"/>
      <c r="L13" s="242"/>
      <c r="M13" s="242"/>
      <c r="N13" s="227" t="s">
        <v>19</v>
      </c>
      <c r="O13" s="227"/>
      <c r="P13" s="228"/>
      <c r="Q13" s="1"/>
      <c r="R13" s="1"/>
      <c r="S13" s="1"/>
      <c r="T13" s="1"/>
      <c r="U13" s="1"/>
      <c r="V13" s="1"/>
      <c r="W13" s="1"/>
    </row>
    <row r="14" spans="1:23" ht="60" customHeight="1" thickBot="1" x14ac:dyDescent="0.5">
      <c r="A14" s="226"/>
      <c r="B14" s="227"/>
      <c r="C14" s="227"/>
      <c r="D14" s="228"/>
      <c r="E14" s="12"/>
      <c r="F14" s="12"/>
      <c r="G14" s="12"/>
      <c r="H14" s="242" t="s">
        <v>18</v>
      </c>
      <c r="I14" s="242"/>
      <c r="J14" s="242"/>
      <c r="K14" s="242"/>
      <c r="L14" s="242"/>
      <c r="M14" s="242"/>
      <c r="N14" s="227" t="s">
        <v>19</v>
      </c>
      <c r="O14" s="227"/>
      <c r="P14" s="228"/>
      <c r="Q14" s="1"/>
      <c r="R14" s="1"/>
      <c r="S14" s="1"/>
      <c r="T14" s="1"/>
      <c r="U14" s="1"/>
      <c r="V14" s="1"/>
      <c r="W14" s="1"/>
    </row>
    <row r="16" spans="1:23" s="4" customFormat="1" ht="47.2" customHeight="1" x14ac:dyDescent="0.45">
      <c r="A16" s="246" t="s">
        <v>20</v>
      </c>
      <c r="B16" s="248" t="s">
        <v>21</v>
      </c>
      <c r="C16" s="251" t="s">
        <v>22</v>
      </c>
      <c r="D16" s="246" t="s">
        <v>23</v>
      </c>
      <c r="E16" s="246" t="s">
        <v>24</v>
      </c>
      <c r="F16" s="246" t="s">
        <v>25</v>
      </c>
      <c r="G16" s="246" t="s">
        <v>26</v>
      </c>
      <c r="H16" s="246" t="s">
        <v>27</v>
      </c>
      <c r="I16" s="248" t="s">
        <v>28</v>
      </c>
      <c r="J16" s="248"/>
      <c r="K16" s="246" t="s">
        <v>29</v>
      </c>
      <c r="L16" s="248" t="s">
        <v>30</v>
      </c>
      <c r="M16" s="248" t="s">
        <v>31</v>
      </c>
      <c r="N16" s="248"/>
      <c r="O16" s="248"/>
      <c r="P16" s="249" t="s">
        <v>32</v>
      </c>
    </row>
    <row r="17" spans="1:18" s="4" customFormat="1" ht="98.45" customHeight="1" thickBot="1" x14ac:dyDescent="0.5">
      <c r="A17" s="247"/>
      <c r="B17" s="246"/>
      <c r="C17" s="252"/>
      <c r="D17" s="247"/>
      <c r="E17" s="247"/>
      <c r="F17" s="247"/>
      <c r="G17" s="247"/>
      <c r="H17" s="247"/>
      <c r="I17" s="99" t="s">
        <v>33</v>
      </c>
      <c r="J17" s="99" t="s">
        <v>34</v>
      </c>
      <c r="K17" s="247"/>
      <c r="L17" s="246"/>
      <c r="M17" s="100" t="s">
        <v>35</v>
      </c>
      <c r="N17" s="100" t="s">
        <v>36</v>
      </c>
      <c r="O17" s="100" t="s">
        <v>37</v>
      </c>
      <c r="P17" s="250"/>
    </row>
    <row r="18" spans="1:18" ht="99.7" customHeight="1" x14ac:dyDescent="0.45">
      <c r="A18" s="214" t="s">
        <v>38</v>
      </c>
      <c r="B18" s="101" t="s">
        <v>651</v>
      </c>
      <c r="C18" s="101" t="s">
        <v>39</v>
      </c>
      <c r="D18" s="101" t="s">
        <v>40</v>
      </c>
      <c r="E18" s="153" t="s">
        <v>668</v>
      </c>
      <c r="F18" s="153" t="s">
        <v>667</v>
      </c>
      <c r="G18" s="101" t="s">
        <v>41</v>
      </c>
      <c r="H18" s="155" t="s">
        <v>42</v>
      </c>
      <c r="I18" s="102">
        <v>48</v>
      </c>
      <c r="J18" s="102">
        <v>10</v>
      </c>
      <c r="K18" s="103" t="s">
        <v>43</v>
      </c>
      <c r="L18" s="101" t="s">
        <v>44</v>
      </c>
      <c r="M18" s="104" t="s">
        <v>45</v>
      </c>
      <c r="N18" s="101" t="s">
        <v>46</v>
      </c>
      <c r="O18" s="101" t="s">
        <v>47</v>
      </c>
      <c r="P18" s="63" t="s">
        <v>48</v>
      </c>
      <c r="Q18" s="293" t="s">
        <v>665</v>
      </c>
      <c r="R18" s="170" t="s">
        <v>681</v>
      </c>
    </row>
    <row r="19" spans="1:18" ht="20.2" customHeight="1" x14ac:dyDescent="0.45">
      <c r="A19" s="215"/>
      <c r="B19" s="217" t="s">
        <v>652</v>
      </c>
      <c r="C19" s="217" t="s">
        <v>49</v>
      </c>
      <c r="D19" s="217" t="s">
        <v>50</v>
      </c>
      <c r="E19" s="273" t="s">
        <v>670</v>
      </c>
      <c r="F19" s="273" t="s">
        <v>669</v>
      </c>
      <c r="G19" s="16" t="s">
        <v>51</v>
      </c>
      <c r="H19" s="16" t="s">
        <v>52</v>
      </c>
      <c r="I19" s="49">
        <v>16</v>
      </c>
      <c r="J19" s="49">
        <v>4</v>
      </c>
      <c r="K19" s="56" t="s">
        <v>53</v>
      </c>
      <c r="L19" s="16" t="s">
        <v>54</v>
      </c>
      <c r="M19" s="17" t="s">
        <v>45</v>
      </c>
      <c r="N19" s="16" t="s">
        <v>55</v>
      </c>
      <c r="O19" s="49" t="s">
        <v>56</v>
      </c>
      <c r="P19" s="161" t="s">
        <v>57</v>
      </c>
      <c r="Q19" s="293"/>
      <c r="R19" s="170"/>
    </row>
    <row r="20" spans="1:18" ht="20.2" customHeight="1" x14ac:dyDescent="0.45">
      <c r="A20" s="215"/>
      <c r="B20" s="217"/>
      <c r="C20" s="217"/>
      <c r="D20" s="217"/>
      <c r="E20" s="274"/>
      <c r="F20" s="274"/>
      <c r="G20" s="16" t="s">
        <v>58</v>
      </c>
      <c r="H20" s="16" t="s">
        <v>59</v>
      </c>
      <c r="I20" s="49">
        <v>19</v>
      </c>
      <c r="J20" s="49">
        <v>5</v>
      </c>
      <c r="K20" s="56" t="s">
        <v>60</v>
      </c>
      <c r="L20" s="16" t="s">
        <v>61</v>
      </c>
      <c r="M20" s="17" t="s">
        <v>62</v>
      </c>
      <c r="N20" s="16" t="s">
        <v>55</v>
      </c>
      <c r="O20" s="49" t="s">
        <v>56</v>
      </c>
      <c r="P20" s="161" t="s">
        <v>63</v>
      </c>
      <c r="Q20" s="293"/>
      <c r="R20" s="170"/>
    </row>
    <row r="21" spans="1:18" ht="20.2" customHeight="1" x14ac:dyDescent="0.45">
      <c r="A21" s="215"/>
      <c r="B21" s="217"/>
      <c r="C21" s="217"/>
      <c r="D21" s="16" t="s">
        <v>64</v>
      </c>
      <c r="E21" s="274"/>
      <c r="F21" s="274"/>
      <c r="G21" s="16" t="s">
        <v>65</v>
      </c>
      <c r="H21" s="16" t="s">
        <v>66</v>
      </c>
      <c r="I21" s="49">
        <v>32</v>
      </c>
      <c r="J21" s="49">
        <v>8</v>
      </c>
      <c r="K21" s="56" t="s">
        <v>67</v>
      </c>
      <c r="L21" s="16" t="s">
        <v>61</v>
      </c>
      <c r="M21" s="17" t="s">
        <v>45</v>
      </c>
      <c r="N21" s="16" t="s">
        <v>55</v>
      </c>
      <c r="O21" s="49" t="s">
        <v>56</v>
      </c>
      <c r="P21" s="65" t="s">
        <v>68</v>
      </c>
      <c r="Q21" s="293"/>
      <c r="R21" s="170"/>
    </row>
    <row r="22" spans="1:18" ht="20.2" customHeight="1" x14ac:dyDescent="0.45">
      <c r="A22" s="215"/>
      <c r="B22" s="217"/>
      <c r="C22" s="217"/>
      <c r="D22" s="16" t="s">
        <v>69</v>
      </c>
      <c r="E22" s="274"/>
      <c r="F22" s="274"/>
      <c r="G22" s="16" t="s">
        <v>70</v>
      </c>
      <c r="H22" s="17" t="s">
        <v>71</v>
      </c>
      <c r="I22" s="49">
        <v>32</v>
      </c>
      <c r="J22" s="49">
        <v>8</v>
      </c>
      <c r="K22" s="56" t="s">
        <v>72</v>
      </c>
      <c r="L22" s="16" t="s">
        <v>61</v>
      </c>
      <c r="M22" s="17" t="s">
        <v>45</v>
      </c>
      <c r="N22" s="16" t="s">
        <v>55</v>
      </c>
      <c r="O22" s="49" t="s">
        <v>56</v>
      </c>
      <c r="P22" s="257" t="s">
        <v>73</v>
      </c>
      <c r="Q22" s="293"/>
      <c r="R22" s="170"/>
    </row>
    <row r="23" spans="1:18" ht="20.2" customHeight="1" x14ac:dyDescent="0.45">
      <c r="A23" s="215"/>
      <c r="B23" s="217"/>
      <c r="C23" s="217"/>
      <c r="D23" s="17" t="s">
        <v>74</v>
      </c>
      <c r="E23" s="275"/>
      <c r="F23" s="275"/>
      <c r="G23" s="46" t="s">
        <v>75</v>
      </c>
      <c r="H23" s="16" t="s">
        <v>76</v>
      </c>
      <c r="I23" s="49">
        <v>16</v>
      </c>
      <c r="J23" s="49">
        <v>4</v>
      </c>
      <c r="K23" s="56" t="s">
        <v>77</v>
      </c>
      <c r="L23" s="16" t="s">
        <v>61</v>
      </c>
      <c r="M23" s="17" t="s">
        <v>45</v>
      </c>
      <c r="N23" s="16" t="s">
        <v>55</v>
      </c>
      <c r="O23" s="49" t="s">
        <v>78</v>
      </c>
      <c r="P23" s="258"/>
      <c r="Q23" s="293"/>
      <c r="R23" s="170"/>
    </row>
    <row r="24" spans="1:18" ht="20.2" customHeight="1" x14ac:dyDescent="0.45">
      <c r="A24" s="215"/>
      <c r="B24" s="217"/>
      <c r="C24" s="217" t="s">
        <v>79</v>
      </c>
      <c r="D24" s="16" t="s">
        <v>80</v>
      </c>
      <c r="E24" s="276" t="s">
        <v>672</v>
      </c>
      <c r="F24" s="276" t="s">
        <v>671</v>
      </c>
      <c r="G24" s="43" t="s">
        <v>81</v>
      </c>
      <c r="H24" s="45" t="s">
        <v>82</v>
      </c>
      <c r="I24" s="50">
        <v>10</v>
      </c>
      <c r="J24" s="48">
        <v>2</v>
      </c>
      <c r="K24" s="45" t="s">
        <v>83</v>
      </c>
      <c r="L24" s="45" t="s">
        <v>84</v>
      </c>
      <c r="M24" s="45" t="s">
        <v>85</v>
      </c>
      <c r="N24" s="43" t="s">
        <v>86</v>
      </c>
      <c r="O24" s="43" t="s">
        <v>87</v>
      </c>
      <c r="P24" s="259" t="s">
        <v>88</v>
      </c>
      <c r="Q24" s="293"/>
      <c r="R24" s="170"/>
    </row>
    <row r="25" spans="1:18" ht="20.2" customHeight="1" x14ac:dyDescent="0.45">
      <c r="A25" s="215"/>
      <c r="B25" s="217"/>
      <c r="C25" s="217"/>
      <c r="D25" s="16" t="s">
        <v>89</v>
      </c>
      <c r="E25" s="277"/>
      <c r="F25" s="277"/>
      <c r="G25" s="47" t="s">
        <v>90</v>
      </c>
      <c r="H25" s="45" t="s">
        <v>91</v>
      </c>
      <c r="I25" s="50">
        <v>10</v>
      </c>
      <c r="J25" s="48">
        <v>2</v>
      </c>
      <c r="K25" s="43" t="s">
        <v>92</v>
      </c>
      <c r="L25" s="58" t="s">
        <v>93</v>
      </c>
      <c r="M25" s="45" t="s">
        <v>85</v>
      </c>
      <c r="N25" s="43" t="s">
        <v>86</v>
      </c>
      <c r="O25" s="43" t="s">
        <v>87</v>
      </c>
      <c r="P25" s="260"/>
      <c r="Q25" s="293"/>
      <c r="R25" s="170"/>
    </row>
    <row r="26" spans="1:18" ht="20.2" customHeight="1" x14ac:dyDescent="0.45">
      <c r="A26" s="215"/>
      <c r="B26" s="217"/>
      <c r="C26" s="217"/>
      <c r="D26" s="16" t="s">
        <v>94</v>
      </c>
      <c r="E26" s="277"/>
      <c r="F26" s="277"/>
      <c r="G26" s="45" t="s">
        <v>95</v>
      </c>
      <c r="H26" s="45" t="s">
        <v>96</v>
      </c>
      <c r="I26" s="50">
        <v>10</v>
      </c>
      <c r="J26" s="48">
        <v>2</v>
      </c>
      <c r="K26" s="43" t="s">
        <v>97</v>
      </c>
      <c r="L26" s="58" t="s">
        <v>98</v>
      </c>
      <c r="M26" s="45" t="s">
        <v>85</v>
      </c>
      <c r="N26" s="43" t="s">
        <v>86</v>
      </c>
      <c r="O26" s="43" t="s">
        <v>87</v>
      </c>
      <c r="P26" s="260"/>
      <c r="Q26" s="293"/>
      <c r="R26" s="170"/>
    </row>
    <row r="27" spans="1:18" ht="20.2" customHeight="1" x14ac:dyDescent="0.45">
      <c r="A27" s="215"/>
      <c r="B27" s="217"/>
      <c r="C27" s="217"/>
      <c r="D27" s="16" t="s">
        <v>99</v>
      </c>
      <c r="E27" s="278"/>
      <c r="F27" s="278"/>
      <c r="G27" s="45" t="s">
        <v>100</v>
      </c>
      <c r="H27" s="45" t="s">
        <v>101</v>
      </c>
      <c r="I27" s="50">
        <v>10</v>
      </c>
      <c r="J27" s="48">
        <v>2</v>
      </c>
      <c r="K27" s="45" t="s">
        <v>102</v>
      </c>
      <c r="L27" s="45" t="s">
        <v>103</v>
      </c>
      <c r="M27" s="45" t="s">
        <v>85</v>
      </c>
      <c r="N27" s="43" t="s">
        <v>86</v>
      </c>
      <c r="O27" s="43" t="s">
        <v>87</v>
      </c>
      <c r="P27" s="261"/>
      <c r="Q27" s="293"/>
      <c r="R27" s="170"/>
    </row>
    <row r="28" spans="1:18" ht="196.9" x14ac:dyDescent="0.45">
      <c r="A28" s="215"/>
      <c r="B28" s="218" t="s">
        <v>653</v>
      </c>
      <c r="C28" s="18" t="s">
        <v>104</v>
      </c>
      <c r="D28" s="19" t="s">
        <v>105</v>
      </c>
      <c r="E28" s="156" t="s">
        <v>677</v>
      </c>
      <c r="F28" s="156" t="s">
        <v>673</v>
      </c>
      <c r="G28" s="18" t="s">
        <v>106</v>
      </c>
      <c r="H28" s="16" t="s">
        <v>107</v>
      </c>
      <c r="I28" s="51">
        <v>32</v>
      </c>
      <c r="J28" s="51">
        <v>8</v>
      </c>
      <c r="K28" s="19" t="s">
        <v>108</v>
      </c>
      <c r="L28" s="18" t="s">
        <v>61</v>
      </c>
      <c r="M28" s="19" t="s">
        <v>45</v>
      </c>
      <c r="N28" s="18" t="s">
        <v>55</v>
      </c>
      <c r="O28" s="59" t="s">
        <v>109</v>
      </c>
      <c r="P28" s="64" t="s">
        <v>110</v>
      </c>
      <c r="Q28" s="293"/>
      <c r="R28" s="170"/>
    </row>
    <row r="29" spans="1:18" ht="165.7" customHeight="1" x14ac:dyDescent="0.45">
      <c r="A29" s="215"/>
      <c r="B29" s="218"/>
      <c r="C29" s="20" t="s">
        <v>111</v>
      </c>
      <c r="D29" s="21" t="s">
        <v>112</v>
      </c>
      <c r="E29" s="154"/>
      <c r="F29" s="154"/>
      <c r="G29" s="42" t="s">
        <v>113</v>
      </c>
      <c r="H29" s="34" t="s">
        <v>114</v>
      </c>
      <c r="I29" s="52">
        <v>52</v>
      </c>
      <c r="J29" s="41">
        <v>12</v>
      </c>
      <c r="K29" s="42" t="s">
        <v>115</v>
      </c>
      <c r="L29" s="42" t="s">
        <v>116</v>
      </c>
      <c r="M29" s="60" t="s">
        <v>117</v>
      </c>
      <c r="N29" s="42" t="s">
        <v>118</v>
      </c>
      <c r="O29" s="42" t="s">
        <v>119</v>
      </c>
      <c r="P29" s="64"/>
      <c r="Q29" s="293"/>
      <c r="R29" s="170"/>
    </row>
    <row r="30" spans="1:18" ht="117" customHeight="1" x14ac:dyDescent="0.45">
      <c r="A30" s="215"/>
      <c r="B30" s="217" t="s">
        <v>654</v>
      </c>
      <c r="C30" s="279" t="s">
        <v>104</v>
      </c>
      <c r="D30" s="172" t="s">
        <v>120</v>
      </c>
      <c r="E30" s="285" t="s">
        <v>678</v>
      </c>
      <c r="F30" s="282" t="s">
        <v>674</v>
      </c>
      <c r="G30" s="48" t="s">
        <v>121</v>
      </c>
      <c r="H30" s="25" t="s">
        <v>122</v>
      </c>
      <c r="I30" s="49">
        <v>30</v>
      </c>
      <c r="J30" s="49">
        <v>5</v>
      </c>
      <c r="K30" s="56" t="s">
        <v>123</v>
      </c>
      <c r="L30" s="48" t="s">
        <v>61</v>
      </c>
      <c r="M30" s="17" t="s">
        <v>45</v>
      </c>
      <c r="N30" s="16" t="s">
        <v>55</v>
      </c>
      <c r="O30" s="61" t="s">
        <v>109</v>
      </c>
      <c r="P30" s="162" t="s">
        <v>124</v>
      </c>
      <c r="Q30" s="293"/>
      <c r="R30" s="170"/>
    </row>
    <row r="31" spans="1:18" ht="121.8" customHeight="1" x14ac:dyDescent="0.45">
      <c r="A31" s="215"/>
      <c r="B31" s="217"/>
      <c r="C31" s="280"/>
      <c r="D31" s="172"/>
      <c r="E31" s="286"/>
      <c r="F31" s="283"/>
      <c r="G31" s="48" t="s">
        <v>125</v>
      </c>
      <c r="H31" s="25" t="s">
        <v>126</v>
      </c>
      <c r="I31" s="49">
        <v>24</v>
      </c>
      <c r="J31" s="49">
        <v>6</v>
      </c>
      <c r="K31" s="56" t="s">
        <v>127</v>
      </c>
      <c r="L31" s="48" t="s">
        <v>61</v>
      </c>
      <c r="M31" s="17" t="s">
        <v>45</v>
      </c>
      <c r="N31" s="16" t="s">
        <v>55</v>
      </c>
      <c r="O31" s="61" t="s">
        <v>109</v>
      </c>
      <c r="P31" s="162" t="s">
        <v>128</v>
      </c>
      <c r="Q31" s="293"/>
      <c r="R31" s="170"/>
    </row>
    <row r="32" spans="1:18" ht="179.45" hidden="1" customHeight="1" x14ac:dyDescent="0.45">
      <c r="A32" s="215"/>
      <c r="B32" s="217"/>
      <c r="C32" s="280"/>
      <c r="D32" s="172"/>
      <c r="E32" s="287"/>
      <c r="F32" s="284"/>
      <c r="G32" s="48" t="s">
        <v>129</v>
      </c>
      <c r="H32" s="25" t="s">
        <v>130</v>
      </c>
      <c r="I32" s="49">
        <v>24</v>
      </c>
      <c r="J32" s="49">
        <v>6</v>
      </c>
      <c r="K32" s="56" t="s">
        <v>131</v>
      </c>
      <c r="L32" s="48" t="s">
        <v>61</v>
      </c>
      <c r="M32" s="17" t="s">
        <v>45</v>
      </c>
      <c r="N32" s="16" t="s">
        <v>55</v>
      </c>
      <c r="O32" s="61" t="s">
        <v>109</v>
      </c>
      <c r="P32" s="66" t="s">
        <v>132</v>
      </c>
      <c r="Q32" s="293"/>
      <c r="R32" s="170"/>
    </row>
    <row r="33" spans="1:18" ht="223.15" x14ac:dyDescent="0.45">
      <c r="A33" s="215"/>
      <c r="B33" s="217"/>
      <c r="C33" s="281"/>
      <c r="D33" s="25" t="s">
        <v>133</v>
      </c>
      <c r="E33" s="157" t="s">
        <v>679</v>
      </c>
      <c r="F33" s="157" t="s">
        <v>675</v>
      </c>
      <c r="G33" s="48" t="s">
        <v>134</v>
      </c>
      <c r="H33" s="25" t="s">
        <v>135</v>
      </c>
      <c r="I33" s="49">
        <v>30</v>
      </c>
      <c r="J33" s="49">
        <v>5</v>
      </c>
      <c r="K33" s="56" t="s">
        <v>136</v>
      </c>
      <c r="L33" s="48" t="s">
        <v>61</v>
      </c>
      <c r="M33" s="17" t="s">
        <v>45</v>
      </c>
      <c r="N33" s="16" t="s">
        <v>55</v>
      </c>
      <c r="O33" s="61" t="s">
        <v>109</v>
      </c>
      <c r="P33" s="161" t="s">
        <v>137</v>
      </c>
      <c r="Q33" s="293"/>
      <c r="R33" s="170"/>
    </row>
    <row r="34" spans="1:18" ht="236.25" x14ac:dyDescent="0.45">
      <c r="A34" s="215"/>
      <c r="B34" s="217"/>
      <c r="C34" s="23" t="s">
        <v>138</v>
      </c>
      <c r="D34" s="16" t="s">
        <v>139</v>
      </c>
      <c r="G34" s="45" t="s">
        <v>140</v>
      </c>
      <c r="H34" s="43" t="s">
        <v>141</v>
      </c>
      <c r="I34" s="50">
        <v>10</v>
      </c>
      <c r="J34" s="48">
        <v>2</v>
      </c>
      <c r="K34" s="45" t="s">
        <v>142</v>
      </c>
      <c r="L34" s="43" t="s">
        <v>143</v>
      </c>
      <c r="M34" s="45" t="s">
        <v>144</v>
      </c>
      <c r="N34" s="45" t="s">
        <v>145</v>
      </c>
      <c r="O34" s="45" t="s">
        <v>146</v>
      </c>
      <c r="P34" s="67"/>
      <c r="Q34" s="293"/>
      <c r="R34" s="170"/>
    </row>
    <row r="35" spans="1:18" ht="289.8" customHeight="1" x14ac:dyDescent="0.45">
      <c r="A35" s="215"/>
      <c r="B35" s="217"/>
      <c r="C35" s="24" t="s">
        <v>111</v>
      </c>
      <c r="D35" s="25" t="s">
        <v>147</v>
      </c>
      <c r="G35" s="45" t="s">
        <v>148</v>
      </c>
      <c r="H35" s="44" t="s">
        <v>149</v>
      </c>
      <c r="I35" s="53">
        <v>52</v>
      </c>
      <c r="J35" s="53">
        <v>12</v>
      </c>
      <c r="K35" s="45" t="s">
        <v>150</v>
      </c>
      <c r="L35" s="45" t="s">
        <v>151</v>
      </c>
      <c r="M35" s="62" t="s">
        <v>117</v>
      </c>
      <c r="N35" s="45" t="s">
        <v>152</v>
      </c>
      <c r="O35" s="45" t="s">
        <v>119</v>
      </c>
      <c r="P35" s="68"/>
      <c r="Q35" s="293"/>
      <c r="R35" s="170"/>
    </row>
    <row r="36" spans="1:18" ht="236.25" x14ac:dyDescent="0.45">
      <c r="A36" s="215"/>
      <c r="B36" s="218" t="s">
        <v>655</v>
      </c>
      <c r="C36" s="26" t="s">
        <v>153</v>
      </c>
      <c r="D36" s="26" t="s">
        <v>684</v>
      </c>
      <c r="G36" s="41" t="s">
        <v>154</v>
      </c>
      <c r="H36" s="25" t="s">
        <v>155</v>
      </c>
      <c r="I36" s="51">
        <v>32</v>
      </c>
      <c r="J36" s="51">
        <v>8</v>
      </c>
      <c r="K36" s="57" t="s">
        <v>156</v>
      </c>
      <c r="L36" s="41" t="s">
        <v>61</v>
      </c>
      <c r="M36" s="19" t="s">
        <v>45</v>
      </c>
      <c r="N36" s="18" t="s">
        <v>55</v>
      </c>
      <c r="O36" s="59" t="s">
        <v>109</v>
      </c>
      <c r="P36" s="262" t="s">
        <v>157</v>
      </c>
      <c r="Q36" s="294" t="s">
        <v>666</v>
      </c>
      <c r="R36" s="171" t="s">
        <v>682</v>
      </c>
    </row>
    <row r="37" spans="1:18" ht="236.25" x14ac:dyDescent="0.45">
      <c r="A37" s="215"/>
      <c r="B37" s="218"/>
      <c r="C37" s="192" t="s">
        <v>153</v>
      </c>
      <c r="D37" s="192" t="s">
        <v>158</v>
      </c>
      <c r="G37" s="41" t="s">
        <v>159</v>
      </c>
      <c r="H37" s="25" t="s">
        <v>160</v>
      </c>
      <c r="I37" s="51">
        <v>24</v>
      </c>
      <c r="J37" s="51">
        <v>6</v>
      </c>
      <c r="K37" s="57" t="s">
        <v>161</v>
      </c>
      <c r="L37" s="41" t="s">
        <v>61</v>
      </c>
      <c r="M37" s="19" t="s">
        <v>45</v>
      </c>
      <c r="N37" s="19" t="s">
        <v>55</v>
      </c>
      <c r="O37" s="59" t="s">
        <v>109</v>
      </c>
      <c r="P37" s="263"/>
      <c r="Q37" s="294"/>
      <c r="R37" s="171"/>
    </row>
    <row r="38" spans="1:18" ht="196.9" x14ac:dyDescent="0.45">
      <c r="A38" s="215"/>
      <c r="B38" s="218"/>
      <c r="C38" s="192"/>
      <c r="D38" s="192"/>
      <c r="G38" s="41" t="s">
        <v>162</v>
      </c>
      <c r="H38" s="25" t="s">
        <v>163</v>
      </c>
      <c r="I38" s="51">
        <v>24</v>
      </c>
      <c r="J38" s="51">
        <v>6</v>
      </c>
      <c r="K38" s="57" t="s">
        <v>164</v>
      </c>
      <c r="L38" s="41" t="s">
        <v>61</v>
      </c>
      <c r="M38" s="19" t="s">
        <v>45</v>
      </c>
      <c r="N38" s="19" t="s">
        <v>55</v>
      </c>
      <c r="O38" s="59" t="s">
        <v>109</v>
      </c>
      <c r="P38" s="263"/>
      <c r="Q38" s="294"/>
      <c r="R38" s="171"/>
    </row>
    <row r="39" spans="1:18" ht="249.4" x14ac:dyDescent="0.45">
      <c r="A39" s="215"/>
      <c r="B39" s="218"/>
      <c r="C39" s="26" t="s">
        <v>153</v>
      </c>
      <c r="D39" s="27" t="s">
        <v>165</v>
      </c>
      <c r="G39" s="41" t="s">
        <v>166</v>
      </c>
      <c r="H39" s="25" t="s">
        <v>167</v>
      </c>
      <c r="I39" s="51">
        <v>35</v>
      </c>
      <c r="J39" s="51">
        <v>9</v>
      </c>
      <c r="K39" s="57" t="s">
        <v>168</v>
      </c>
      <c r="L39" s="41" t="s">
        <v>61</v>
      </c>
      <c r="M39" s="19" t="s">
        <v>45</v>
      </c>
      <c r="N39" s="19" t="s">
        <v>55</v>
      </c>
      <c r="O39" s="59" t="s">
        <v>109</v>
      </c>
      <c r="P39" s="264"/>
      <c r="Q39" s="294"/>
      <c r="R39" s="171"/>
    </row>
    <row r="40" spans="1:18" ht="236.25" x14ac:dyDescent="0.45">
      <c r="A40" s="215"/>
      <c r="B40" s="218"/>
      <c r="C40" s="212" t="s">
        <v>138</v>
      </c>
      <c r="D40" s="18" t="s">
        <v>169</v>
      </c>
      <c r="G40" s="42" t="s">
        <v>170</v>
      </c>
      <c r="H40" s="45" t="s">
        <v>171</v>
      </c>
      <c r="I40" s="54">
        <v>10</v>
      </c>
      <c r="J40" s="41">
        <v>2</v>
      </c>
      <c r="K40" s="42" t="s">
        <v>172</v>
      </c>
      <c r="L40" s="42" t="s">
        <v>173</v>
      </c>
      <c r="M40" s="42" t="s">
        <v>144</v>
      </c>
      <c r="N40" s="42" t="s">
        <v>145</v>
      </c>
      <c r="O40" s="42" t="s">
        <v>146</v>
      </c>
      <c r="P40" s="69"/>
      <c r="Q40" s="294"/>
      <c r="R40" s="171"/>
    </row>
    <row r="41" spans="1:18" ht="236.25" x14ac:dyDescent="0.45">
      <c r="A41" s="215"/>
      <c r="B41" s="218"/>
      <c r="C41" s="212"/>
      <c r="D41" s="18" t="s">
        <v>174</v>
      </c>
      <c r="G41" s="42" t="s">
        <v>175</v>
      </c>
      <c r="H41" s="16" t="s">
        <v>176</v>
      </c>
      <c r="I41" s="55">
        <v>10</v>
      </c>
      <c r="J41" s="55">
        <v>2</v>
      </c>
      <c r="K41" s="42" t="s">
        <v>177</v>
      </c>
      <c r="L41" s="42" t="s">
        <v>178</v>
      </c>
      <c r="M41" s="42" t="s">
        <v>144</v>
      </c>
      <c r="N41" s="42" t="s">
        <v>145</v>
      </c>
      <c r="O41" s="42" t="s">
        <v>146</v>
      </c>
      <c r="P41" s="69"/>
      <c r="Q41" s="294"/>
      <c r="R41" s="171"/>
    </row>
    <row r="42" spans="1:18" ht="236.65" thickBot="1" x14ac:dyDescent="0.5">
      <c r="A42" s="216"/>
      <c r="B42" s="219"/>
      <c r="C42" s="213"/>
      <c r="D42" s="105" t="s">
        <v>179</v>
      </c>
      <c r="G42" s="107" t="s">
        <v>180</v>
      </c>
      <c r="H42" s="108" t="s">
        <v>181</v>
      </c>
      <c r="I42" s="109">
        <v>10</v>
      </c>
      <c r="J42" s="109">
        <v>2</v>
      </c>
      <c r="K42" s="107" t="s">
        <v>182</v>
      </c>
      <c r="L42" s="107" t="s">
        <v>178</v>
      </c>
      <c r="M42" s="107" t="s">
        <v>144</v>
      </c>
      <c r="N42" s="107" t="s">
        <v>145</v>
      </c>
      <c r="O42" s="107" t="s">
        <v>146</v>
      </c>
      <c r="P42" s="70"/>
      <c r="Q42" s="294"/>
      <c r="R42" s="171"/>
    </row>
    <row r="43" spans="1:18" ht="118.15" x14ac:dyDescent="0.45">
      <c r="A43" s="206" t="s">
        <v>183</v>
      </c>
      <c r="B43" s="191" t="s">
        <v>656</v>
      </c>
      <c r="C43" s="191" t="s">
        <v>104</v>
      </c>
      <c r="D43" s="292" t="s">
        <v>184</v>
      </c>
      <c r="E43" s="290" t="s">
        <v>678</v>
      </c>
      <c r="F43" s="288" t="s">
        <v>674</v>
      </c>
      <c r="G43" s="112" t="s">
        <v>185</v>
      </c>
      <c r="H43" s="113" t="s">
        <v>186</v>
      </c>
      <c r="I43" s="102">
        <v>16</v>
      </c>
      <c r="J43" s="102">
        <v>4</v>
      </c>
      <c r="K43" s="265" t="s">
        <v>187</v>
      </c>
      <c r="L43" s="110" t="s">
        <v>188</v>
      </c>
      <c r="M43" s="104" t="s">
        <v>45</v>
      </c>
      <c r="N43" s="101" t="s">
        <v>55</v>
      </c>
      <c r="O43" s="110" t="s">
        <v>56</v>
      </c>
      <c r="P43" s="163" t="s">
        <v>189</v>
      </c>
      <c r="Q43" s="294"/>
      <c r="R43" s="171"/>
    </row>
    <row r="44" spans="1:18" ht="118.15" x14ac:dyDescent="0.45">
      <c r="A44" s="207"/>
      <c r="B44" s="192"/>
      <c r="C44" s="192"/>
      <c r="D44" s="281"/>
      <c r="E44" s="291"/>
      <c r="F44" s="289"/>
      <c r="G44" s="36" t="s">
        <v>190</v>
      </c>
      <c r="H44" s="25" t="s">
        <v>191</v>
      </c>
      <c r="I44" s="51">
        <v>24</v>
      </c>
      <c r="J44" s="51">
        <v>6</v>
      </c>
      <c r="K44" s="193"/>
      <c r="L44" s="27" t="s">
        <v>192</v>
      </c>
      <c r="M44" s="19" t="s">
        <v>45</v>
      </c>
      <c r="N44" s="18" t="s">
        <v>55</v>
      </c>
      <c r="O44" s="27" t="s">
        <v>56</v>
      </c>
      <c r="P44" s="164" t="s">
        <v>193</v>
      </c>
      <c r="Q44" s="294"/>
      <c r="R44" s="171"/>
    </row>
    <row r="45" spans="1:18" ht="118.15" x14ac:dyDescent="0.45">
      <c r="A45" s="207"/>
      <c r="B45" s="192"/>
      <c r="C45" s="192"/>
      <c r="D45" s="279" t="s">
        <v>194</v>
      </c>
      <c r="E45" s="290" t="s">
        <v>680</v>
      </c>
      <c r="F45" s="288" t="s">
        <v>676</v>
      </c>
      <c r="G45" s="36" t="s">
        <v>195</v>
      </c>
      <c r="H45" s="25" t="s">
        <v>196</v>
      </c>
      <c r="I45" s="51">
        <v>16</v>
      </c>
      <c r="J45" s="51">
        <v>4</v>
      </c>
      <c r="K45" s="193"/>
      <c r="L45" s="27" t="s">
        <v>192</v>
      </c>
      <c r="M45" s="19" t="s">
        <v>45</v>
      </c>
      <c r="N45" s="18" t="s">
        <v>55</v>
      </c>
      <c r="O45" s="27" t="s">
        <v>56</v>
      </c>
      <c r="P45" s="165" t="s">
        <v>197</v>
      </c>
      <c r="Q45" s="294"/>
      <c r="R45" s="171"/>
    </row>
    <row r="46" spans="1:18" ht="118.15" x14ac:dyDescent="0.45">
      <c r="A46" s="207"/>
      <c r="B46" s="192"/>
      <c r="C46" s="192"/>
      <c r="D46" s="281"/>
      <c r="E46" s="291"/>
      <c r="F46" s="289"/>
      <c r="G46" s="36" t="s">
        <v>198</v>
      </c>
      <c r="H46" s="25" t="s">
        <v>199</v>
      </c>
      <c r="I46" s="51">
        <v>24</v>
      </c>
      <c r="J46" s="51">
        <v>6</v>
      </c>
      <c r="K46" s="193"/>
      <c r="L46" s="27" t="s">
        <v>192</v>
      </c>
      <c r="M46" s="19" t="s">
        <v>45</v>
      </c>
      <c r="N46" s="18" t="s">
        <v>55</v>
      </c>
      <c r="O46" s="27" t="s">
        <v>56</v>
      </c>
      <c r="P46" s="166" t="s">
        <v>200</v>
      </c>
      <c r="Q46" s="294"/>
      <c r="R46" s="171"/>
    </row>
    <row r="47" spans="1:18" ht="118.15" x14ac:dyDescent="0.45">
      <c r="A47" s="207"/>
      <c r="B47" s="192"/>
      <c r="C47" s="194" t="s">
        <v>201</v>
      </c>
      <c r="D47" s="24" t="s">
        <v>202</v>
      </c>
      <c r="G47" s="42" t="s">
        <v>203</v>
      </c>
      <c r="H47" s="41" t="s">
        <v>204</v>
      </c>
      <c r="I47" s="79">
        <v>10</v>
      </c>
      <c r="J47" s="79">
        <v>2</v>
      </c>
      <c r="K47" s="42" t="s">
        <v>205</v>
      </c>
      <c r="L47" s="42" t="s">
        <v>206</v>
      </c>
      <c r="M47" s="42" t="s">
        <v>117</v>
      </c>
      <c r="N47" s="42" t="s">
        <v>207</v>
      </c>
      <c r="O47" s="42" t="s">
        <v>208</v>
      </c>
      <c r="P47" s="114"/>
      <c r="Q47" s="294"/>
      <c r="R47" s="171"/>
    </row>
    <row r="48" spans="1:18" ht="157.5" x14ac:dyDescent="0.45">
      <c r="A48" s="207"/>
      <c r="B48" s="192"/>
      <c r="C48" s="194"/>
      <c r="D48" s="24" t="s">
        <v>209</v>
      </c>
      <c r="G48" s="42" t="s">
        <v>210</v>
      </c>
      <c r="H48" s="41" t="s">
        <v>211</v>
      </c>
      <c r="I48" s="79">
        <v>10</v>
      </c>
      <c r="J48" s="79">
        <v>2</v>
      </c>
      <c r="K48" s="42" t="s">
        <v>212</v>
      </c>
      <c r="L48" s="42" t="s">
        <v>206</v>
      </c>
      <c r="M48" s="42" t="s">
        <v>117</v>
      </c>
      <c r="N48" s="42" t="s">
        <v>213</v>
      </c>
      <c r="O48" s="42" t="s">
        <v>208</v>
      </c>
      <c r="P48" s="114"/>
      <c r="Q48" s="294"/>
      <c r="R48" s="171"/>
    </row>
    <row r="49" spans="1:19" ht="157.5" x14ac:dyDescent="0.45">
      <c r="A49" s="207"/>
      <c r="B49" s="192"/>
      <c r="C49" s="194"/>
      <c r="D49" s="24" t="s">
        <v>214</v>
      </c>
      <c r="G49" s="42" t="s">
        <v>215</v>
      </c>
      <c r="H49" s="41" t="s">
        <v>216</v>
      </c>
      <c r="I49" s="79">
        <v>10</v>
      </c>
      <c r="J49" s="79">
        <v>2</v>
      </c>
      <c r="K49" s="42" t="s">
        <v>217</v>
      </c>
      <c r="L49" s="42" t="s">
        <v>206</v>
      </c>
      <c r="M49" s="42" t="s">
        <v>117</v>
      </c>
      <c r="N49" s="42" t="s">
        <v>218</v>
      </c>
      <c r="O49" s="42" t="s">
        <v>208</v>
      </c>
      <c r="P49" s="115"/>
      <c r="Q49" s="294"/>
      <c r="R49" s="171"/>
    </row>
    <row r="50" spans="1:19" ht="157.5" x14ac:dyDescent="0.45">
      <c r="A50" s="207"/>
      <c r="B50" s="192"/>
      <c r="C50" s="194"/>
      <c r="D50" s="24" t="s">
        <v>219</v>
      </c>
      <c r="G50" s="42" t="s">
        <v>220</v>
      </c>
      <c r="H50" s="41" t="s">
        <v>221</v>
      </c>
      <c r="I50" s="79">
        <v>10</v>
      </c>
      <c r="J50" s="79">
        <v>2</v>
      </c>
      <c r="K50" s="42" t="s">
        <v>222</v>
      </c>
      <c r="L50" s="42" t="s">
        <v>206</v>
      </c>
      <c r="M50" s="42" t="s">
        <v>117</v>
      </c>
      <c r="N50" s="42" t="s">
        <v>223</v>
      </c>
      <c r="O50" s="42" t="s">
        <v>208</v>
      </c>
      <c r="P50" s="115"/>
      <c r="Q50" s="294"/>
      <c r="R50" s="171"/>
    </row>
    <row r="51" spans="1:19" ht="144.4" x14ac:dyDescent="0.45">
      <c r="A51" s="207"/>
      <c r="B51" s="192"/>
      <c r="C51" s="194" t="s">
        <v>224</v>
      </c>
      <c r="D51" s="24" t="s">
        <v>225</v>
      </c>
      <c r="G51" s="71" t="s">
        <v>226</v>
      </c>
      <c r="H51" s="41" t="s">
        <v>227</v>
      </c>
      <c r="I51" s="54">
        <v>10</v>
      </c>
      <c r="J51" s="41">
        <v>2</v>
      </c>
      <c r="K51" s="42" t="s">
        <v>228</v>
      </c>
      <c r="L51" s="42" t="s">
        <v>229</v>
      </c>
      <c r="M51" s="60" t="s">
        <v>117</v>
      </c>
      <c r="N51" s="84" t="s">
        <v>230</v>
      </c>
      <c r="O51" s="71" t="s">
        <v>231</v>
      </c>
      <c r="P51" s="115"/>
      <c r="Q51" s="294"/>
      <c r="R51" s="171"/>
    </row>
    <row r="52" spans="1:19" ht="157.5" x14ac:dyDescent="0.45">
      <c r="A52" s="207"/>
      <c r="B52" s="192"/>
      <c r="C52" s="194"/>
      <c r="D52" s="24" t="s">
        <v>232</v>
      </c>
      <c r="G52" s="42" t="s">
        <v>233</v>
      </c>
      <c r="H52" s="41" t="s">
        <v>234</v>
      </c>
      <c r="I52" s="41">
        <v>10</v>
      </c>
      <c r="J52" s="41">
        <v>2</v>
      </c>
      <c r="K52" s="42" t="s">
        <v>235</v>
      </c>
      <c r="L52" s="42" t="s">
        <v>229</v>
      </c>
      <c r="M52" s="60" t="s">
        <v>117</v>
      </c>
      <c r="N52" s="84" t="s">
        <v>230</v>
      </c>
      <c r="O52" s="71" t="s">
        <v>231</v>
      </c>
      <c r="P52" s="114"/>
      <c r="Q52" s="294"/>
      <c r="R52" s="171"/>
    </row>
    <row r="53" spans="1:19" ht="210" x14ac:dyDescent="0.45">
      <c r="A53" s="207"/>
      <c r="B53" s="192"/>
      <c r="C53" s="194"/>
      <c r="D53" s="24" t="s">
        <v>236</v>
      </c>
      <c r="G53" s="42" t="s">
        <v>237</v>
      </c>
      <c r="H53" s="41" t="s">
        <v>238</v>
      </c>
      <c r="I53" s="41">
        <v>10</v>
      </c>
      <c r="J53" s="41">
        <v>2</v>
      </c>
      <c r="K53" s="42" t="s">
        <v>239</v>
      </c>
      <c r="L53" s="82" t="s">
        <v>178</v>
      </c>
      <c r="M53" s="60" t="s">
        <v>117</v>
      </c>
      <c r="N53" s="84" t="s">
        <v>230</v>
      </c>
      <c r="O53" s="71" t="s">
        <v>231</v>
      </c>
      <c r="P53" s="114"/>
      <c r="Q53" s="294"/>
      <c r="R53" s="171"/>
    </row>
    <row r="54" spans="1:19" ht="196.9" x14ac:dyDescent="0.45">
      <c r="A54" s="207"/>
      <c r="B54" s="192"/>
      <c r="C54" s="194"/>
      <c r="D54" s="24" t="s">
        <v>240</v>
      </c>
      <c r="G54" s="42" t="s">
        <v>241</v>
      </c>
      <c r="H54" s="41" t="s">
        <v>242</v>
      </c>
      <c r="I54" s="41">
        <v>10</v>
      </c>
      <c r="J54" s="41">
        <v>2</v>
      </c>
      <c r="K54" s="42" t="s">
        <v>243</v>
      </c>
      <c r="L54" s="71" t="s">
        <v>244</v>
      </c>
      <c r="M54" s="60" t="s">
        <v>117</v>
      </c>
      <c r="N54" s="84" t="s">
        <v>230</v>
      </c>
      <c r="O54" s="71" t="s">
        <v>231</v>
      </c>
      <c r="P54" s="114"/>
      <c r="Q54" s="294"/>
      <c r="R54" s="171"/>
    </row>
    <row r="55" spans="1:19" ht="213.75" x14ac:dyDescent="0.45">
      <c r="A55" s="207"/>
      <c r="B55" s="172" t="s">
        <v>657</v>
      </c>
      <c r="C55" s="172" t="s">
        <v>245</v>
      </c>
      <c r="D55" s="298" t="s">
        <v>246</v>
      </c>
      <c r="E55" s="159"/>
      <c r="G55" s="72" t="s">
        <v>247</v>
      </c>
      <c r="H55" s="74" t="s">
        <v>248</v>
      </c>
      <c r="I55" s="49">
        <v>48</v>
      </c>
      <c r="J55" s="49">
        <v>12</v>
      </c>
      <c r="K55" s="81" t="s">
        <v>249</v>
      </c>
      <c r="L55" s="16" t="s">
        <v>61</v>
      </c>
      <c r="M55" s="17" t="s">
        <v>45</v>
      </c>
      <c r="N55" s="16" t="s">
        <v>55</v>
      </c>
      <c r="O55" s="25" t="s">
        <v>56</v>
      </c>
      <c r="P55" s="116" t="s">
        <v>250</v>
      </c>
      <c r="Q55" s="295" t="s">
        <v>664</v>
      </c>
      <c r="R55" s="170" t="s">
        <v>683</v>
      </c>
    </row>
    <row r="56" spans="1:19" ht="199.5" x14ac:dyDescent="0.45">
      <c r="A56" s="207"/>
      <c r="B56" s="172"/>
      <c r="C56" s="172"/>
      <c r="D56" s="298"/>
      <c r="E56" s="159" t="s">
        <v>686</v>
      </c>
      <c r="G56" s="72" t="s">
        <v>251</v>
      </c>
      <c r="H56" s="75" t="s">
        <v>252</v>
      </c>
      <c r="I56" s="49">
        <v>48</v>
      </c>
      <c r="J56" s="49">
        <v>12</v>
      </c>
      <c r="K56" s="81" t="s">
        <v>253</v>
      </c>
      <c r="L56" s="16" t="s">
        <v>61</v>
      </c>
      <c r="M56" s="17" t="s">
        <v>45</v>
      </c>
      <c r="N56" s="16" t="s">
        <v>55</v>
      </c>
      <c r="O56" s="25" t="s">
        <v>56</v>
      </c>
      <c r="P56" s="116" t="s">
        <v>254</v>
      </c>
      <c r="Q56" s="295"/>
      <c r="R56" s="170"/>
    </row>
    <row r="57" spans="1:19" ht="213.75" x14ac:dyDescent="0.45">
      <c r="A57" s="207"/>
      <c r="B57" s="172"/>
      <c r="C57" s="172" t="s">
        <v>245</v>
      </c>
      <c r="D57" s="299" t="s">
        <v>255</v>
      </c>
      <c r="E57" s="159"/>
      <c r="G57" s="72" t="s">
        <v>256</v>
      </c>
      <c r="H57" s="74" t="s">
        <v>257</v>
      </c>
      <c r="I57" s="49">
        <v>32</v>
      </c>
      <c r="J57" s="49">
        <v>8</v>
      </c>
      <c r="K57" s="72" t="s">
        <v>258</v>
      </c>
      <c r="L57" s="16" t="s">
        <v>61</v>
      </c>
      <c r="M57" s="17" t="s">
        <v>45</v>
      </c>
      <c r="N57" s="16" t="s">
        <v>55</v>
      </c>
      <c r="O57" s="25" t="s">
        <v>56</v>
      </c>
      <c r="P57" s="266" t="s">
        <v>259</v>
      </c>
      <c r="Q57" s="295"/>
      <c r="R57" s="170"/>
      <c r="S57" s="158"/>
    </row>
    <row r="58" spans="1:19" ht="185.25" x14ac:dyDescent="0.45">
      <c r="A58" s="207"/>
      <c r="B58" s="172"/>
      <c r="C58" s="172"/>
      <c r="D58" s="299"/>
      <c r="E58" s="159"/>
      <c r="G58" s="72" t="s">
        <v>260</v>
      </c>
      <c r="H58" s="76" t="s">
        <v>261</v>
      </c>
      <c r="I58" s="49">
        <v>32</v>
      </c>
      <c r="J58" s="49">
        <v>8</v>
      </c>
      <c r="K58" s="72" t="s">
        <v>262</v>
      </c>
      <c r="L58" s="16" t="s">
        <v>61</v>
      </c>
      <c r="M58" s="17" t="s">
        <v>45</v>
      </c>
      <c r="N58" s="16" t="s">
        <v>55</v>
      </c>
      <c r="O58" s="25" t="s">
        <v>56</v>
      </c>
      <c r="P58" s="267"/>
      <c r="Q58" s="295"/>
      <c r="R58" s="170"/>
      <c r="S58" s="158" t="s">
        <v>685</v>
      </c>
    </row>
    <row r="59" spans="1:19" ht="199.5" x14ac:dyDescent="0.45">
      <c r="A59" s="207"/>
      <c r="B59" s="172"/>
      <c r="C59" s="172"/>
      <c r="D59" s="299"/>
      <c r="E59" s="159"/>
      <c r="G59" s="72" t="s">
        <v>263</v>
      </c>
      <c r="H59" s="76" t="s">
        <v>264</v>
      </c>
      <c r="I59" s="49">
        <v>29</v>
      </c>
      <c r="J59" s="49">
        <v>7</v>
      </c>
      <c r="K59" s="72" t="s">
        <v>265</v>
      </c>
      <c r="L59" s="16" t="s">
        <v>61</v>
      </c>
      <c r="M59" s="17" t="s">
        <v>45</v>
      </c>
      <c r="N59" s="16" t="s">
        <v>55</v>
      </c>
      <c r="O59" s="25" t="s">
        <v>56</v>
      </c>
      <c r="P59" s="117" t="s">
        <v>266</v>
      </c>
      <c r="Q59" s="295"/>
      <c r="R59" s="170"/>
      <c r="S59" s="158"/>
    </row>
    <row r="60" spans="1:19" ht="185.25" x14ac:dyDescent="0.45">
      <c r="A60" s="207"/>
      <c r="B60" s="172"/>
      <c r="C60" s="22" t="s">
        <v>245</v>
      </c>
      <c r="D60" s="28" t="s">
        <v>267</v>
      </c>
      <c r="E60" s="159"/>
      <c r="G60" s="72" t="s">
        <v>268</v>
      </c>
      <c r="H60" s="76" t="s">
        <v>269</v>
      </c>
      <c r="I60" s="49">
        <v>32</v>
      </c>
      <c r="J60" s="49">
        <v>8</v>
      </c>
      <c r="K60" s="72" t="s">
        <v>270</v>
      </c>
      <c r="L60" s="16" t="s">
        <v>61</v>
      </c>
      <c r="M60" s="17" t="s">
        <v>45</v>
      </c>
      <c r="N60" s="16" t="s">
        <v>55</v>
      </c>
      <c r="O60" s="25" t="s">
        <v>56</v>
      </c>
      <c r="P60" s="118" t="s">
        <v>271</v>
      </c>
      <c r="Q60" s="295"/>
      <c r="R60" s="170"/>
      <c r="S60" t="s">
        <v>685</v>
      </c>
    </row>
    <row r="61" spans="1:19" x14ac:dyDescent="0.45">
      <c r="A61" s="207"/>
      <c r="B61" s="172"/>
      <c r="C61" s="23"/>
      <c r="D61" s="29"/>
      <c r="G61" s="72"/>
      <c r="H61" s="76"/>
      <c r="I61" s="49"/>
      <c r="J61" s="49"/>
      <c r="K61" s="72"/>
      <c r="L61" s="83"/>
      <c r="M61" s="73"/>
      <c r="N61" s="85"/>
      <c r="O61" s="25"/>
      <c r="P61" s="117"/>
      <c r="Q61" s="295"/>
      <c r="R61" s="170"/>
    </row>
    <row r="62" spans="1:19" ht="65.650000000000006" x14ac:dyDescent="0.45">
      <c r="A62" s="207"/>
      <c r="B62" s="172"/>
      <c r="C62" s="194" t="s">
        <v>272</v>
      </c>
      <c r="D62" s="24" t="s">
        <v>273</v>
      </c>
      <c r="G62" s="45" t="s">
        <v>274</v>
      </c>
      <c r="H62" s="77" t="s">
        <v>275</v>
      </c>
      <c r="I62" s="53">
        <v>10</v>
      </c>
      <c r="J62" s="53">
        <v>2</v>
      </c>
      <c r="K62" s="45" t="s">
        <v>276</v>
      </c>
      <c r="L62" s="58" t="s">
        <v>277</v>
      </c>
      <c r="M62" s="45" t="s">
        <v>117</v>
      </c>
      <c r="N62" s="45" t="s">
        <v>278</v>
      </c>
      <c r="O62" s="45" t="s">
        <v>279</v>
      </c>
      <c r="P62" s="119"/>
      <c r="Q62" s="295"/>
      <c r="R62" s="170"/>
    </row>
    <row r="63" spans="1:19" ht="65.650000000000006" x14ac:dyDescent="0.45">
      <c r="A63" s="207"/>
      <c r="B63" s="172"/>
      <c r="C63" s="194"/>
      <c r="D63" s="24" t="s">
        <v>280</v>
      </c>
      <c r="G63" s="45" t="s">
        <v>281</v>
      </c>
      <c r="H63" s="78" t="s">
        <v>282</v>
      </c>
      <c r="I63" s="53">
        <v>10</v>
      </c>
      <c r="J63" s="53">
        <v>2</v>
      </c>
      <c r="K63" s="45" t="s">
        <v>283</v>
      </c>
      <c r="L63" s="45" t="s">
        <v>284</v>
      </c>
      <c r="M63" s="45" t="s">
        <v>117</v>
      </c>
      <c r="N63" s="45" t="s">
        <v>278</v>
      </c>
      <c r="O63" s="45" t="s">
        <v>279</v>
      </c>
      <c r="P63" s="119"/>
      <c r="Q63" s="295"/>
      <c r="R63" s="170"/>
    </row>
    <row r="64" spans="1:19" ht="105" x14ac:dyDescent="0.45">
      <c r="A64" s="207"/>
      <c r="B64" s="172"/>
      <c r="C64" s="194"/>
      <c r="D64" s="24" t="s">
        <v>285</v>
      </c>
      <c r="G64" s="45" t="s">
        <v>286</v>
      </c>
      <c r="H64" s="78" t="s">
        <v>287</v>
      </c>
      <c r="I64" s="53">
        <v>10</v>
      </c>
      <c r="J64" s="53">
        <v>2</v>
      </c>
      <c r="K64" s="45" t="s">
        <v>288</v>
      </c>
      <c r="L64" s="45" t="s">
        <v>284</v>
      </c>
      <c r="M64" s="45" t="s">
        <v>117</v>
      </c>
      <c r="N64" s="45" t="s">
        <v>278</v>
      </c>
      <c r="O64" s="45" t="s">
        <v>279</v>
      </c>
      <c r="P64" s="119"/>
      <c r="Q64" s="295"/>
      <c r="R64" s="170"/>
    </row>
    <row r="65" spans="1:18" ht="65.650000000000006" x14ac:dyDescent="0.45">
      <c r="A65" s="207"/>
      <c r="B65" s="172"/>
      <c r="C65" s="194"/>
      <c r="D65" s="24" t="s">
        <v>289</v>
      </c>
      <c r="G65" s="45" t="s">
        <v>290</v>
      </c>
      <c r="H65" s="78" t="s">
        <v>291</v>
      </c>
      <c r="I65" s="53">
        <v>10</v>
      </c>
      <c r="J65" s="53">
        <v>2</v>
      </c>
      <c r="K65" s="45" t="s">
        <v>292</v>
      </c>
      <c r="L65" s="58" t="s">
        <v>293</v>
      </c>
      <c r="M65" s="45" t="s">
        <v>117</v>
      </c>
      <c r="N65" s="45" t="s">
        <v>278</v>
      </c>
      <c r="O65" s="45" t="s">
        <v>279</v>
      </c>
      <c r="P65" s="119"/>
      <c r="Q65" s="295"/>
      <c r="R65" s="170"/>
    </row>
    <row r="66" spans="1:18" ht="105" x14ac:dyDescent="0.45">
      <c r="A66" s="207"/>
      <c r="B66" s="172"/>
      <c r="C66" s="194" t="s">
        <v>294</v>
      </c>
      <c r="D66" s="24" t="s">
        <v>295</v>
      </c>
      <c r="G66" s="45" t="s">
        <v>296</v>
      </c>
      <c r="H66" s="74" t="s">
        <v>297</v>
      </c>
      <c r="I66" s="80">
        <v>10</v>
      </c>
      <c r="J66" s="80">
        <v>2</v>
      </c>
      <c r="K66" s="45" t="s">
        <v>298</v>
      </c>
      <c r="L66" s="45" t="s">
        <v>299</v>
      </c>
      <c r="M66" s="45" t="s">
        <v>117</v>
      </c>
      <c r="N66" s="45" t="s">
        <v>300</v>
      </c>
      <c r="O66" s="45" t="s">
        <v>301</v>
      </c>
      <c r="P66" s="119"/>
      <c r="Q66" s="295"/>
      <c r="R66" s="170"/>
    </row>
    <row r="67" spans="1:18" ht="78.75" x14ac:dyDescent="0.45">
      <c r="A67" s="207"/>
      <c r="B67" s="172"/>
      <c r="C67" s="194"/>
      <c r="D67" s="20" t="s">
        <v>302</v>
      </c>
      <c r="G67" s="45" t="s">
        <v>303</v>
      </c>
      <c r="H67" s="74" t="s">
        <v>304</v>
      </c>
      <c r="I67" s="53">
        <v>10</v>
      </c>
      <c r="J67" s="53">
        <v>2</v>
      </c>
      <c r="K67" s="45" t="s">
        <v>305</v>
      </c>
      <c r="L67" s="45" t="s">
        <v>306</v>
      </c>
      <c r="M67" s="45" t="s">
        <v>117</v>
      </c>
      <c r="N67" s="45" t="s">
        <v>300</v>
      </c>
      <c r="O67" s="45" t="s">
        <v>301</v>
      </c>
      <c r="P67" s="117"/>
      <c r="Q67" s="295"/>
      <c r="R67" s="170"/>
    </row>
    <row r="68" spans="1:18" ht="91.9" x14ac:dyDescent="0.45">
      <c r="A68" s="207"/>
      <c r="B68" s="172"/>
      <c r="C68" s="194"/>
      <c r="D68" s="20" t="s">
        <v>307</v>
      </c>
      <c r="G68" s="45" t="s">
        <v>308</v>
      </c>
      <c r="H68" s="74" t="s">
        <v>309</v>
      </c>
      <c r="I68" s="53">
        <v>10</v>
      </c>
      <c r="J68" s="53">
        <v>2</v>
      </c>
      <c r="K68" s="45" t="s">
        <v>310</v>
      </c>
      <c r="L68" s="45" t="s">
        <v>311</v>
      </c>
      <c r="M68" s="45" t="s">
        <v>117</v>
      </c>
      <c r="N68" s="45" t="s">
        <v>300</v>
      </c>
      <c r="O68" s="45" t="s">
        <v>301</v>
      </c>
      <c r="P68" s="117"/>
      <c r="Q68" s="295"/>
      <c r="R68" s="170"/>
    </row>
    <row r="69" spans="1:18" ht="78.75" x14ac:dyDescent="0.45">
      <c r="A69" s="207"/>
      <c r="B69" s="172"/>
      <c r="C69" s="194"/>
      <c r="D69" s="24" t="s">
        <v>312</v>
      </c>
      <c r="G69" s="45" t="s">
        <v>313</v>
      </c>
      <c r="H69" s="74" t="s">
        <v>314</v>
      </c>
      <c r="I69" s="53">
        <v>10</v>
      </c>
      <c r="J69" s="53">
        <v>2</v>
      </c>
      <c r="K69" s="45" t="s">
        <v>315</v>
      </c>
      <c r="L69" s="45" t="s">
        <v>316</v>
      </c>
      <c r="M69" s="45" t="s">
        <v>117</v>
      </c>
      <c r="N69" s="45" t="s">
        <v>300</v>
      </c>
      <c r="O69" s="45" t="s">
        <v>301</v>
      </c>
      <c r="P69" s="117"/>
      <c r="Q69" s="295"/>
      <c r="R69" s="170"/>
    </row>
    <row r="70" spans="1:18" ht="185.25" x14ac:dyDescent="0.45">
      <c r="A70" s="207"/>
      <c r="B70" s="192" t="s">
        <v>658</v>
      </c>
      <c r="C70" s="30" t="s">
        <v>245</v>
      </c>
      <c r="D70" s="31" t="s">
        <v>317</v>
      </c>
      <c r="E70" s="159"/>
      <c r="G70" s="73" t="s">
        <v>318</v>
      </c>
      <c r="H70" s="74" t="s">
        <v>319</v>
      </c>
      <c r="I70" s="48">
        <v>48</v>
      </c>
      <c r="J70" s="48">
        <v>12</v>
      </c>
      <c r="K70" s="72" t="s">
        <v>320</v>
      </c>
      <c r="L70" s="16" t="s">
        <v>61</v>
      </c>
      <c r="M70" s="17" t="s">
        <v>45</v>
      </c>
      <c r="N70" s="16" t="s">
        <v>55</v>
      </c>
      <c r="O70" s="25" t="s">
        <v>56</v>
      </c>
      <c r="P70" s="117" t="s">
        <v>321</v>
      </c>
      <c r="Q70" s="295"/>
      <c r="R70" s="170"/>
    </row>
    <row r="71" spans="1:18" ht="144.4" x14ac:dyDescent="0.45">
      <c r="A71" s="207"/>
      <c r="B71" s="192"/>
      <c r="C71" s="194" t="s">
        <v>322</v>
      </c>
      <c r="D71" s="32" t="s">
        <v>323</v>
      </c>
      <c r="G71" s="42" t="s">
        <v>324</v>
      </c>
      <c r="H71" s="41" t="s">
        <v>325</v>
      </c>
      <c r="I71" s="55">
        <v>10</v>
      </c>
      <c r="J71" s="55">
        <v>2</v>
      </c>
      <c r="K71" s="42" t="s">
        <v>326</v>
      </c>
      <c r="L71" s="42" t="s">
        <v>327</v>
      </c>
      <c r="M71" s="42" t="s">
        <v>328</v>
      </c>
      <c r="N71" s="42" t="s">
        <v>329</v>
      </c>
      <c r="O71" s="42" t="s">
        <v>330</v>
      </c>
      <c r="P71" s="120"/>
      <c r="Q71" s="295"/>
      <c r="R71" s="170"/>
    </row>
    <row r="72" spans="1:18" ht="196.9" x14ac:dyDescent="0.45">
      <c r="A72" s="207"/>
      <c r="B72" s="192"/>
      <c r="C72" s="194"/>
      <c r="D72" s="32" t="s">
        <v>331</v>
      </c>
      <c r="G72" s="42" t="s">
        <v>332</v>
      </c>
      <c r="H72" s="41" t="s">
        <v>333</v>
      </c>
      <c r="I72" s="55">
        <v>10</v>
      </c>
      <c r="J72" s="55">
        <v>2</v>
      </c>
      <c r="K72" s="42" t="s">
        <v>334</v>
      </c>
      <c r="L72" s="42" t="s">
        <v>335</v>
      </c>
      <c r="M72" s="42" t="s">
        <v>328</v>
      </c>
      <c r="N72" s="42" t="s">
        <v>336</v>
      </c>
      <c r="O72" s="42" t="s">
        <v>330</v>
      </c>
      <c r="P72" s="120"/>
      <c r="Q72" s="295"/>
      <c r="R72" s="170"/>
    </row>
    <row r="73" spans="1:18" ht="409.6" customHeight="1" x14ac:dyDescent="0.45">
      <c r="A73" s="207"/>
      <c r="B73" s="192"/>
      <c r="C73" s="24" t="s">
        <v>111</v>
      </c>
      <c r="D73" s="24" t="s">
        <v>337</v>
      </c>
      <c r="G73" s="42" t="s">
        <v>338</v>
      </c>
      <c r="H73" s="41" t="s">
        <v>339</v>
      </c>
      <c r="I73" s="79">
        <v>52</v>
      </c>
      <c r="J73" s="79">
        <v>12</v>
      </c>
      <c r="K73" s="42" t="s">
        <v>340</v>
      </c>
      <c r="L73" s="42" t="s">
        <v>341</v>
      </c>
      <c r="M73" s="60" t="s">
        <v>117</v>
      </c>
      <c r="N73" s="42" t="s">
        <v>342</v>
      </c>
      <c r="O73" s="42" t="s">
        <v>119</v>
      </c>
      <c r="P73" s="115"/>
      <c r="Q73" s="296" t="s">
        <v>343</v>
      </c>
    </row>
    <row r="74" spans="1:18" ht="223.15" x14ac:dyDescent="0.45">
      <c r="A74" s="207"/>
      <c r="B74" s="192"/>
      <c r="C74" s="194" t="s">
        <v>344</v>
      </c>
      <c r="D74" s="24" t="s">
        <v>345</v>
      </c>
      <c r="G74" s="42" t="s">
        <v>346</v>
      </c>
      <c r="H74" s="41" t="s">
        <v>347</v>
      </c>
      <c r="I74" s="55">
        <v>10</v>
      </c>
      <c r="J74" s="55">
        <v>2</v>
      </c>
      <c r="K74" s="42" t="s">
        <v>348</v>
      </c>
      <c r="L74" s="42" t="s">
        <v>349</v>
      </c>
      <c r="M74" s="71" t="s">
        <v>350</v>
      </c>
      <c r="N74" s="42" t="s">
        <v>351</v>
      </c>
      <c r="O74" s="42" t="s">
        <v>352</v>
      </c>
      <c r="P74" s="120"/>
      <c r="Q74" s="296"/>
    </row>
    <row r="75" spans="1:18" ht="409.6" thickBot="1" x14ac:dyDescent="0.5">
      <c r="A75" s="208"/>
      <c r="B75" s="209"/>
      <c r="C75" s="198"/>
      <c r="D75" s="121" t="s">
        <v>353</v>
      </c>
      <c r="E75" s="106"/>
      <c r="F75" s="106"/>
      <c r="G75" s="107" t="s">
        <v>354</v>
      </c>
      <c r="H75" s="122" t="s">
        <v>355</v>
      </c>
      <c r="I75" s="109">
        <v>10</v>
      </c>
      <c r="J75" s="109">
        <v>2</v>
      </c>
      <c r="K75" s="107" t="s">
        <v>356</v>
      </c>
      <c r="L75" s="107" t="s">
        <v>349</v>
      </c>
      <c r="M75" s="123" t="s">
        <v>350</v>
      </c>
      <c r="N75" s="124" t="s">
        <v>357</v>
      </c>
      <c r="O75" s="107" t="s">
        <v>352</v>
      </c>
      <c r="P75" s="125"/>
      <c r="Q75" s="296"/>
    </row>
    <row r="76" spans="1:18" ht="93.7" customHeight="1" x14ac:dyDescent="0.45">
      <c r="A76" s="200" t="s">
        <v>358</v>
      </c>
      <c r="B76" s="203" t="s">
        <v>659</v>
      </c>
      <c r="C76" s="205" t="s">
        <v>359</v>
      </c>
      <c r="D76" s="183" t="s">
        <v>360</v>
      </c>
      <c r="E76" s="111"/>
      <c r="F76" s="111"/>
      <c r="G76" s="126" t="s">
        <v>361</v>
      </c>
      <c r="H76" s="127" t="s">
        <v>362</v>
      </c>
      <c r="I76" s="128">
        <v>32</v>
      </c>
      <c r="J76" s="128">
        <v>8</v>
      </c>
      <c r="K76" s="127" t="s">
        <v>363</v>
      </c>
      <c r="L76" s="127" t="s">
        <v>364</v>
      </c>
      <c r="M76" s="127" t="s">
        <v>365</v>
      </c>
      <c r="N76" s="127" t="s">
        <v>366</v>
      </c>
      <c r="O76" s="128" t="s">
        <v>56</v>
      </c>
      <c r="P76" s="268" t="s">
        <v>367</v>
      </c>
      <c r="Q76" s="296"/>
      <c r="R76" s="271" t="s">
        <v>690</v>
      </c>
    </row>
    <row r="77" spans="1:18" ht="256.89999999999998" x14ac:dyDescent="0.45">
      <c r="A77" s="201"/>
      <c r="B77" s="204"/>
      <c r="C77" s="185"/>
      <c r="D77" s="184"/>
      <c r="G77" s="86" t="s">
        <v>368</v>
      </c>
      <c r="H77" s="34" t="s">
        <v>369</v>
      </c>
      <c r="I77" s="87">
        <v>40</v>
      </c>
      <c r="J77" s="87">
        <v>12</v>
      </c>
      <c r="K77" s="34" t="s">
        <v>370</v>
      </c>
      <c r="L77" s="34" t="s">
        <v>371</v>
      </c>
      <c r="M77" s="34" t="s">
        <v>365</v>
      </c>
      <c r="N77" s="34" t="s">
        <v>366</v>
      </c>
      <c r="O77" s="87" t="s">
        <v>372</v>
      </c>
      <c r="P77" s="180"/>
      <c r="Q77" s="296"/>
      <c r="R77" s="271"/>
    </row>
    <row r="78" spans="1:18" ht="231.4" x14ac:dyDescent="0.45">
      <c r="A78" s="201"/>
      <c r="B78" s="204"/>
      <c r="C78" s="185"/>
      <c r="D78" s="184"/>
      <c r="G78" s="86" t="s">
        <v>373</v>
      </c>
      <c r="H78" s="34" t="s">
        <v>374</v>
      </c>
      <c r="I78" s="87">
        <v>16</v>
      </c>
      <c r="J78" s="87">
        <v>4</v>
      </c>
      <c r="K78" s="34" t="s">
        <v>375</v>
      </c>
      <c r="L78" s="34" t="s">
        <v>376</v>
      </c>
      <c r="M78" s="34" t="s">
        <v>365</v>
      </c>
      <c r="N78" s="34" t="s">
        <v>366</v>
      </c>
      <c r="O78" s="87" t="s">
        <v>372</v>
      </c>
      <c r="P78" s="180"/>
      <c r="Q78" s="296"/>
      <c r="R78" s="271"/>
    </row>
    <row r="79" spans="1:18" ht="216.75" x14ac:dyDescent="0.45">
      <c r="A79" s="201"/>
      <c r="B79" s="204"/>
      <c r="C79" s="185"/>
      <c r="D79" s="185" t="s">
        <v>377</v>
      </c>
      <c r="G79" s="86" t="s">
        <v>378</v>
      </c>
      <c r="H79" s="34" t="s">
        <v>379</v>
      </c>
      <c r="I79" s="87">
        <v>40</v>
      </c>
      <c r="J79" s="87">
        <v>12</v>
      </c>
      <c r="K79" s="177" t="s">
        <v>380</v>
      </c>
      <c r="L79" s="34" t="s">
        <v>381</v>
      </c>
      <c r="M79" s="34" t="s">
        <v>382</v>
      </c>
      <c r="N79" s="34" t="s">
        <v>366</v>
      </c>
      <c r="O79" s="87" t="s">
        <v>372</v>
      </c>
      <c r="P79" s="180"/>
      <c r="Q79" s="296"/>
      <c r="R79" s="271"/>
    </row>
    <row r="80" spans="1:18" ht="216.75" x14ac:dyDescent="0.45">
      <c r="A80" s="201"/>
      <c r="B80" s="204"/>
      <c r="C80" s="185"/>
      <c r="D80" s="185"/>
      <c r="G80" s="86" t="s">
        <v>383</v>
      </c>
      <c r="H80" s="34" t="s">
        <v>384</v>
      </c>
      <c r="I80" s="87">
        <v>72</v>
      </c>
      <c r="J80" s="87">
        <v>18</v>
      </c>
      <c r="K80" s="177"/>
      <c r="L80" s="34" t="s">
        <v>385</v>
      </c>
      <c r="M80" s="34" t="s">
        <v>386</v>
      </c>
      <c r="N80" s="34" t="s">
        <v>366</v>
      </c>
      <c r="O80" s="87" t="s">
        <v>372</v>
      </c>
      <c r="P80" s="181"/>
      <c r="Q80" s="296"/>
      <c r="R80" s="271"/>
    </row>
    <row r="81" spans="1:19" ht="328.15" x14ac:dyDescent="0.45">
      <c r="A81" s="201"/>
      <c r="B81" s="204"/>
      <c r="C81" s="199" t="s">
        <v>387</v>
      </c>
      <c r="D81" s="33" t="s">
        <v>388</v>
      </c>
      <c r="G81" s="42" t="s">
        <v>389</v>
      </c>
      <c r="H81" s="42" t="s">
        <v>390</v>
      </c>
      <c r="I81" s="79">
        <v>10</v>
      </c>
      <c r="J81" s="79">
        <v>2</v>
      </c>
      <c r="K81" s="42" t="s">
        <v>391</v>
      </c>
      <c r="L81" s="42" t="s">
        <v>349</v>
      </c>
      <c r="M81" s="71" t="s">
        <v>350</v>
      </c>
      <c r="N81" s="42" t="s">
        <v>392</v>
      </c>
      <c r="O81" s="42" t="s">
        <v>352</v>
      </c>
      <c r="P81" s="129"/>
      <c r="Q81" s="296"/>
    </row>
    <row r="82" spans="1:19" ht="196.9" x14ac:dyDescent="0.45">
      <c r="A82" s="201"/>
      <c r="B82" s="204"/>
      <c r="C82" s="199"/>
      <c r="D82" s="33" t="s">
        <v>393</v>
      </c>
      <c r="G82" s="42" t="s">
        <v>394</v>
      </c>
      <c r="H82" s="42" t="s">
        <v>395</v>
      </c>
      <c r="I82" s="79">
        <v>10</v>
      </c>
      <c r="J82" s="79">
        <v>2</v>
      </c>
      <c r="K82" s="42" t="s">
        <v>396</v>
      </c>
      <c r="L82" s="42" t="s">
        <v>349</v>
      </c>
      <c r="M82" s="71" t="s">
        <v>350</v>
      </c>
      <c r="N82" s="42" t="s">
        <v>397</v>
      </c>
      <c r="O82" s="42" t="s">
        <v>352</v>
      </c>
      <c r="P82" s="129"/>
      <c r="Q82" s="296"/>
    </row>
    <row r="83" spans="1:19" ht="170.65" x14ac:dyDescent="0.45">
      <c r="A83" s="201"/>
      <c r="B83" s="204"/>
      <c r="C83" s="199" t="s">
        <v>111</v>
      </c>
      <c r="D83" s="33" t="s">
        <v>398</v>
      </c>
      <c r="G83" s="42" t="s">
        <v>399</v>
      </c>
      <c r="H83" s="42" t="s">
        <v>400</v>
      </c>
      <c r="I83" s="79">
        <v>52</v>
      </c>
      <c r="J83" s="79">
        <v>12</v>
      </c>
      <c r="K83" s="42" t="s">
        <v>401</v>
      </c>
      <c r="L83" s="42" t="s">
        <v>402</v>
      </c>
      <c r="M83" s="60" t="s">
        <v>117</v>
      </c>
      <c r="N83" s="42" t="s">
        <v>403</v>
      </c>
      <c r="O83" s="42" t="s">
        <v>119</v>
      </c>
      <c r="P83" s="129"/>
      <c r="Q83" s="296"/>
    </row>
    <row r="84" spans="1:19" ht="149.25" customHeight="1" x14ac:dyDescent="0.45">
      <c r="A84" s="201"/>
      <c r="B84" s="204"/>
      <c r="C84" s="199"/>
      <c r="D84" s="33" t="s">
        <v>404</v>
      </c>
      <c r="G84" s="42" t="s">
        <v>405</v>
      </c>
      <c r="H84" s="42" t="s">
        <v>406</v>
      </c>
      <c r="I84" s="79">
        <v>52</v>
      </c>
      <c r="J84" s="79">
        <v>12</v>
      </c>
      <c r="K84" s="42" t="s">
        <v>407</v>
      </c>
      <c r="L84" s="42" t="s">
        <v>341</v>
      </c>
      <c r="M84" s="60" t="s">
        <v>117</v>
      </c>
      <c r="N84" s="42" t="s">
        <v>342</v>
      </c>
      <c r="O84" s="42" t="s">
        <v>119</v>
      </c>
      <c r="P84" s="129"/>
      <c r="Q84" s="296"/>
    </row>
    <row r="85" spans="1:19" ht="25.5" x14ac:dyDescent="0.45">
      <c r="A85" s="201"/>
      <c r="B85" s="210" t="s">
        <v>660</v>
      </c>
      <c r="C85" s="177" t="s">
        <v>408</v>
      </c>
      <c r="D85" s="177" t="s">
        <v>409</v>
      </c>
      <c r="G85" s="177" t="s">
        <v>410</v>
      </c>
      <c r="H85" s="34" t="s">
        <v>411</v>
      </c>
      <c r="I85" s="87">
        <v>8</v>
      </c>
      <c r="J85" s="87">
        <v>2</v>
      </c>
      <c r="K85" s="177" t="s">
        <v>412</v>
      </c>
      <c r="L85" s="177" t="s">
        <v>413</v>
      </c>
      <c r="M85" s="177" t="s">
        <v>386</v>
      </c>
      <c r="N85" s="177" t="s">
        <v>366</v>
      </c>
      <c r="O85" s="182" t="s">
        <v>372</v>
      </c>
      <c r="P85" s="269" t="s">
        <v>414</v>
      </c>
      <c r="Q85" s="297" t="s">
        <v>415</v>
      </c>
      <c r="R85" s="272" t="s">
        <v>687</v>
      </c>
      <c r="S85" s="169" t="s">
        <v>687</v>
      </c>
    </row>
    <row r="86" spans="1:19" ht="25.5" x14ac:dyDescent="0.45">
      <c r="A86" s="201"/>
      <c r="B86" s="210"/>
      <c r="C86" s="177"/>
      <c r="D86" s="177"/>
      <c r="G86" s="177"/>
      <c r="H86" s="34" t="s">
        <v>416</v>
      </c>
      <c r="I86" s="87">
        <v>8</v>
      </c>
      <c r="J86" s="87">
        <v>2</v>
      </c>
      <c r="K86" s="177"/>
      <c r="L86" s="177"/>
      <c r="M86" s="177"/>
      <c r="N86" s="177"/>
      <c r="O86" s="182"/>
      <c r="P86" s="270"/>
      <c r="Q86" s="297"/>
      <c r="R86" s="272"/>
      <c r="S86" s="169"/>
    </row>
    <row r="87" spans="1:19" ht="25.5" x14ac:dyDescent="0.45">
      <c r="A87" s="201"/>
      <c r="B87" s="210"/>
      <c r="C87" s="177"/>
      <c r="D87" s="177"/>
      <c r="G87" s="177"/>
      <c r="H87" s="34" t="s">
        <v>417</v>
      </c>
      <c r="I87" s="87">
        <v>8</v>
      </c>
      <c r="J87" s="87">
        <v>2</v>
      </c>
      <c r="K87" s="177"/>
      <c r="L87" s="177"/>
      <c r="M87" s="177"/>
      <c r="N87" s="177"/>
      <c r="O87" s="182"/>
      <c r="P87" s="270"/>
      <c r="Q87" s="297"/>
      <c r="R87" s="272"/>
      <c r="S87" s="169"/>
    </row>
    <row r="88" spans="1:19" ht="38.25" x14ac:dyDescent="0.45">
      <c r="A88" s="201"/>
      <c r="B88" s="210"/>
      <c r="C88" s="177"/>
      <c r="D88" s="177"/>
      <c r="G88" s="177" t="s">
        <v>418</v>
      </c>
      <c r="H88" s="34" t="s">
        <v>419</v>
      </c>
      <c r="I88" s="87">
        <v>8</v>
      </c>
      <c r="J88" s="87">
        <v>2</v>
      </c>
      <c r="K88" s="177" t="s">
        <v>420</v>
      </c>
      <c r="L88" s="177" t="s">
        <v>421</v>
      </c>
      <c r="M88" s="177" t="s">
        <v>386</v>
      </c>
      <c r="N88" s="177" t="s">
        <v>366</v>
      </c>
      <c r="O88" s="182" t="s">
        <v>372</v>
      </c>
      <c r="P88" s="270"/>
      <c r="Q88" s="297"/>
      <c r="R88" s="272"/>
      <c r="S88" s="169"/>
    </row>
    <row r="89" spans="1:19" ht="25.5" x14ac:dyDescent="0.45">
      <c r="A89" s="201"/>
      <c r="B89" s="210"/>
      <c r="C89" s="177"/>
      <c r="D89" s="177"/>
      <c r="G89" s="177"/>
      <c r="H89" s="34" t="s">
        <v>422</v>
      </c>
      <c r="I89" s="87">
        <v>8</v>
      </c>
      <c r="J89" s="87">
        <v>2</v>
      </c>
      <c r="K89" s="177"/>
      <c r="L89" s="177"/>
      <c r="M89" s="177"/>
      <c r="N89" s="177"/>
      <c r="O89" s="182"/>
      <c r="P89" s="270"/>
      <c r="Q89" s="297"/>
      <c r="R89" s="272"/>
      <c r="S89" s="169"/>
    </row>
    <row r="90" spans="1:19" ht="25.5" x14ac:dyDescent="0.45">
      <c r="A90" s="201"/>
      <c r="B90" s="210"/>
      <c r="C90" s="177"/>
      <c r="D90" s="177"/>
      <c r="G90" s="177"/>
      <c r="H90" s="34" t="s">
        <v>423</v>
      </c>
      <c r="I90" s="87">
        <v>8</v>
      </c>
      <c r="J90" s="87">
        <v>2</v>
      </c>
      <c r="K90" s="177"/>
      <c r="L90" s="177"/>
      <c r="M90" s="177"/>
      <c r="N90" s="177"/>
      <c r="O90" s="182"/>
      <c r="P90" s="130" t="s">
        <v>424</v>
      </c>
      <c r="Q90" s="297"/>
      <c r="R90" s="272"/>
      <c r="S90" s="169"/>
    </row>
    <row r="91" spans="1:19" ht="216.75" x14ac:dyDescent="0.45">
      <c r="A91" s="201"/>
      <c r="B91" s="210"/>
      <c r="C91" s="177"/>
      <c r="D91" s="177" t="s">
        <v>425</v>
      </c>
      <c r="G91" s="177" t="s">
        <v>426</v>
      </c>
      <c r="H91" s="34" t="s">
        <v>427</v>
      </c>
      <c r="I91" s="87">
        <v>80</v>
      </c>
      <c r="J91" s="87">
        <v>12</v>
      </c>
      <c r="K91" s="177" t="s">
        <v>428</v>
      </c>
      <c r="L91" s="34" t="s">
        <v>429</v>
      </c>
      <c r="M91" s="34" t="s">
        <v>386</v>
      </c>
      <c r="N91" s="34" t="s">
        <v>366</v>
      </c>
      <c r="O91" s="87" t="s">
        <v>372</v>
      </c>
      <c r="P91" s="179" t="s">
        <v>430</v>
      </c>
      <c r="Q91" s="297"/>
      <c r="R91" t="s">
        <v>689</v>
      </c>
      <c r="S91" s="158"/>
    </row>
    <row r="92" spans="1:19" s="158" customFormat="1" ht="216.75" x14ac:dyDescent="0.45">
      <c r="A92" s="201"/>
      <c r="B92" s="210"/>
      <c r="C92" s="177"/>
      <c r="D92" s="177"/>
      <c r="G92" s="177"/>
      <c r="H92" s="167" t="s">
        <v>431</v>
      </c>
      <c r="I92" s="168">
        <v>300</v>
      </c>
      <c r="J92" s="168">
        <v>74</v>
      </c>
      <c r="K92" s="177"/>
      <c r="L92" s="167" t="s">
        <v>432</v>
      </c>
      <c r="M92" s="167" t="s">
        <v>386</v>
      </c>
      <c r="N92" s="167" t="s">
        <v>366</v>
      </c>
      <c r="O92" s="168" t="s">
        <v>372</v>
      </c>
      <c r="P92" s="180"/>
      <c r="Q92" s="297"/>
      <c r="R92" s="158" t="s">
        <v>691</v>
      </c>
    </row>
    <row r="93" spans="1:19" ht="218.25" x14ac:dyDescent="0.45">
      <c r="A93" s="201"/>
      <c r="B93" s="210"/>
      <c r="C93" s="177"/>
      <c r="D93" s="177"/>
      <c r="G93" s="34" t="s">
        <v>433</v>
      </c>
      <c r="H93" s="34" t="s">
        <v>434</v>
      </c>
      <c r="I93" s="87">
        <v>80</v>
      </c>
      <c r="J93" s="87">
        <v>20</v>
      </c>
      <c r="K93" s="34" t="s">
        <v>435</v>
      </c>
      <c r="L93" s="34" t="s">
        <v>436</v>
      </c>
      <c r="M93" s="34" t="s">
        <v>386</v>
      </c>
      <c r="N93" s="34" t="s">
        <v>366</v>
      </c>
      <c r="O93" s="87" t="s">
        <v>372</v>
      </c>
      <c r="P93" s="180"/>
      <c r="Q93" s="253" t="s">
        <v>437</v>
      </c>
      <c r="R93" t="s">
        <v>688</v>
      </c>
    </row>
    <row r="94" spans="1:19" ht="216.75" x14ac:dyDescent="0.45">
      <c r="A94" s="201"/>
      <c r="B94" s="210"/>
      <c r="C94" s="177"/>
      <c r="D94" s="177"/>
      <c r="G94" s="34" t="s">
        <v>438</v>
      </c>
      <c r="H94" s="34" t="s">
        <v>439</v>
      </c>
      <c r="I94" s="87">
        <v>80</v>
      </c>
      <c r="J94" s="87">
        <v>20</v>
      </c>
      <c r="K94" s="177" t="s">
        <v>440</v>
      </c>
      <c r="L94" s="34" t="s">
        <v>441</v>
      </c>
      <c r="M94" s="34" t="s">
        <v>386</v>
      </c>
      <c r="N94" s="34" t="s">
        <v>366</v>
      </c>
      <c r="O94" s="87" t="s">
        <v>372</v>
      </c>
      <c r="P94" s="180"/>
      <c r="Q94" s="253"/>
    </row>
    <row r="95" spans="1:19" ht="216.75" x14ac:dyDescent="0.45">
      <c r="A95" s="201"/>
      <c r="B95" s="210"/>
      <c r="C95" s="177"/>
      <c r="D95" s="177"/>
      <c r="G95" s="34" t="s">
        <v>442</v>
      </c>
      <c r="H95" s="34" t="s">
        <v>443</v>
      </c>
      <c r="I95" s="87">
        <v>40</v>
      </c>
      <c r="J95" s="87">
        <v>10</v>
      </c>
      <c r="K95" s="177"/>
      <c r="L95" s="34" t="s">
        <v>444</v>
      </c>
      <c r="M95" s="34" t="s">
        <v>386</v>
      </c>
      <c r="N95" s="34" t="s">
        <v>366</v>
      </c>
      <c r="O95" s="87" t="s">
        <v>372</v>
      </c>
      <c r="P95" s="181"/>
      <c r="Q95" s="253"/>
    </row>
    <row r="96" spans="1:19" ht="25.5" x14ac:dyDescent="0.45">
      <c r="A96" s="201"/>
      <c r="B96" s="210"/>
      <c r="C96" s="177"/>
      <c r="D96" s="177" t="s">
        <v>445</v>
      </c>
      <c r="G96" s="178" t="s">
        <v>446</v>
      </c>
      <c r="H96" s="34" t="s">
        <v>447</v>
      </c>
      <c r="I96" s="87">
        <v>24</v>
      </c>
      <c r="J96" s="87">
        <v>8</v>
      </c>
      <c r="K96" s="178" t="s">
        <v>448</v>
      </c>
      <c r="L96" s="34"/>
      <c r="M96" s="177" t="s">
        <v>386</v>
      </c>
      <c r="N96" s="177" t="s">
        <v>366</v>
      </c>
      <c r="O96" s="182" t="s">
        <v>372</v>
      </c>
      <c r="P96" s="179" t="s">
        <v>449</v>
      </c>
      <c r="Q96" s="253"/>
      <c r="R96" t="s">
        <v>692</v>
      </c>
    </row>
    <row r="97" spans="1:18" x14ac:dyDescent="0.45">
      <c r="A97" s="201"/>
      <c r="B97" s="210"/>
      <c r="C97" s="177"/>
      <c r="D97" s="177"/>
      <c r="G97" s="178"/>
      <c r="H97" s="34" t="s">
        <v>450</v>
      </c>
      <c r="I97" s="87">
        <v>24</v>
      </c>
      <c r="J97" s="87">
        <v>8</v>
      </c>
      <c r="K97" s="178"/>
      <c r="L97" s="34"/>
      <c r="M97" s="177"/>
      <c r="N97" s="177"/>
      <c r="O97" s="182"/>
      <c r="P97" s="181"/>
      <c r="Q97" s="253"/>
    </row>
    <row r="98" spans="1:18" ht="25.5" x14ac:dyDescent="0.45">
      <c r="A98" s="201"/>
      <c r="B98" s="210"/>
      <c r="C98" s="177"/>
      <c r="D98" s="177"/>
      <c r="G98" s="178"/>
      <c r="H98" s="34" t="s">
        <v>451</v>
      </c>
      <c r="I98" s="87">
        <v>24</v>
      </c>
      <c r="J98" s="87">
        <v>4</v>
      </c>
      <c r="K98" s="178"/>
      <c r="L98" s="34"/>
      <c r="M98" s="177"/>
      <c r="N98" s="177"/>
      <c r="O98" s="182"/>
      <c r="P98" s="131" t="s">
        <v>449</v>
      </c>
      <c r="Q98" s="253"/>
    </row>
    <row r="99" spans="1:18" x14ac:dyDescent="0.45">
      <c r="A99" s="201"/>
      <c r="B99" s="210"/>
      <c r="C99" s="177"/>
      <c r="D99" s="177"/>
      <c r="G99" s="178"/>
      <c r="H99" s="34" t="s">
        <v>452</v>
      </c>
      <c r="I99" s="87">
        <v>24</v>
      </c>
      <c r="J99" s="87">
        <v>4</v>
      </c>
      <c r="K99" s="178"/>
      <c r="L99" s="34"/>
      <c r="M99" s="177"/>
      <c r="N99" s="177"/>
      <c r="O99" s="182"/>
      <c r="P99" s="132"/>
      <c r="Q99" s="253"/>
    </row>
    <row r="100" spans="1:18" ht="25.5" x14ac:dyDescent="0.45">
      <c r="A100" s="201"/>
      <c r="B100" s="210"/>
      <c r="C100" s="177"/>
      <c r="D100" s="177"/>
      <c r="G100" s="178"/>
      <c r="H100" s="34" t="s">
        <v>453</v>
      </c>
      <c r="I100" s="87">
        <v>24</v>
      </c>
      <c r="J100" s="87">
        <v>4</v>
      </c>
      <c r="K100" s="178"/>
      <c r="L100" s="34"/>
      <c r="M100" s="177"/>
      <c r="N100" s="177"/>
      <c r="O100" s="182"/>
      <c r="P100" s="133"/>
      <c r="Q100" s="253"/>
    </row>
    <row r="101" spans="1:18" ht="144.4" x14ac:dyDescent="0.45">
      <c r="A101" s="201"/>
      <c r="B101" s="210"/>
      <c r="C101" s="212" t="s">
        <v>454</v>
      </c>
      <c r="D101" s="35" t="s">
        <v>455</v>
      </c>
      <c r="G101" s="45" t="s">
        <v>456</v>
      </c>
      <c r="H101" s="45" t="s">
        <v>457</v>
      </c>
      <c r="I101" s="80">
        <v>10</v>
      </c>
      <c r="J101" s="80">
        <v>2</v>
      </c>
      <c r="K101" s="45" t="s">
        <v>458</v>
      </c>
      <c r="L101" s="45" t="s">
        <v>459</v>
      </c>
      <c r="M101" s="45" t="s">
        <v>328</v>
      </c>
      <c r="N101" s="45" t="s">
        <v>460</v>
      </c>
      <c r="O101" s="45" t="s">
        <v>330</v>
      </c>
      <c r="P101" s="134"/>
      <c r="Q101" s="253"/>
    </row>
    <row r="102" spans="1:18" ht="236.65" thickBot="1" x14ac:dyDescent="0.5">
      <c r="A102" s="202"/>
      <c r="B102" s="211"/>
      <c r="C102" s="213"/>
      <c r="D102" s="135" t="s">
        <v>461</v>
      </c>
      <c r="E102" s="106"/>
      <c r="F102" s="106"/>
      <c r="G102" s="136" t="s">
        <v>462</v>
      </c>
      <c r="H102" s="136" t="s">
        <v>463</v>
      </c>
      <c r="I102" s="137">
        <v>10</v>
      </c>
      <c r="J102" s="137">
        <v>2</v>
      </c>
      <c r="K102" s="136" t="s">
        <v>464</v>
      </c>
      <c r="L102" s="136" t="s">
        <v>465</v>
      </c>
      <c r="M102" s="136" t="s">
        <v>328</v>
      </c>
      <c r="N102" s="136" t="s">
        <v>466</v>
      </c>
      <c r="O102" s="136" t="s">
        <v>330</v>
      </c>
      <c r="P102" s="138"/>
      <c r="Q102" s="253"/>
    </row>
    <row r="103" spans="1:18" ht="270" x14ac:dyDescent="0.45">
      <c r="A103" s="186" t="s">
        <v>467</v>
      </c>
      <c r="B103" s="189" t="s">
        <v>661</v>
      </c>
      <c r="C103" s="191" t="s">
        <v>468</v>
      </c>
      <c r="D103" s="191" t="s">
        <v>469</v>
      </c>
      <c r="E103" s="111"/>
      <c r="F103" s="111"/>
      <c r="G103" s="113" t="s">
        <v>470</v>
      </c>
      <c r="H103" s="139" t="s">
        <v>471</v>
      </c>
      <c r="I103" s="128">
        <v>24</v>
      </c>
      <c r="J103" s="113">
        <v>3</v>
      </c>
      <c r="K103" s="113" t="s">
        <v>472</v>
      </c>
      <c r="L103" s="113" t="s">
        <v>473</v>
      </c>
      <c r="M103" s="113" t="s">
        <v>365</v>
      </c>
      <c r="N103" s="113" t="s">
        <v>366</v>
      </c>
      <c r="O103" s="140" t="s">
        <v>56</v>
      </c>
      <c r="Q103" s="253"/>
    </row>
    <row r="104" spans="1:18" ht="27" x14ac:dyDescent="0.45">
      <c r="A104" s="187"/>
      <c r="B104" s="190"/>
      <c r="C104" s="192"/>
      <c r="D104" s="192"/>
      <c r="G104" s="172" t="s">
        <v>474</v>
      </c>
      <c r="H104" s="88" t="s">
        <v>475</v>
      </c>
      <c r="I104" s="87">
        <v>24</v>
      </c>
      <c r="J104" s="25">
        <v>3</v>
      </c>
      <c r="K104" s="172" t="s">
        <v>476</v>
      </c>
      <c r="L104" s="172" t="s">
        <v>477</v>
      </c>
      <c r="M104" s="172" t="s">
        <v>365</v>
      </c>
      <c r="N104" s="172" t="s">
        <v>366</v>
      </c>
      <c r="O104" s="173" t="s">
        <v>56</v>
      </c>
      <c r="Q104" s="253"/>
    </row>
    <row r="105" spans="1:18" ht="409.5" x14ac:dyDescent="0.45">
      <c r="A105" s="187"/>
      <c r="B105" s="190"/>
      <c r="C105" s="192"/>
      <c r="D105" s="192"/>
      <c r="G105" s="172"/>
      <c r="H105" s="88" t="s">
        <v>478</v>
      </c>
      <c r="I105" s="87">
        <v>24</v>
      </c>
      <c r="J105" s="25">
        <v>3</v>
      </c>
      <c r="K105" s="172"/>
      <c r="L105" s="172"/>
      <c r="M105" s="172"/>
      <c r="N105" s="172"/>
      <c r="O105" s="173"/>
      <c r="Q105" s="98" t="s">
        <v>479</v>
      </c>
      <c r="R105" s="160">
        <v>46388</v>
      </c>
    </row>
    <row r="106" spans="1:18" ht="40.5" x14ac:dyDescent="0.45">
      <c r="A106" s="187"/>
      <c r="B106" s="190"/>
      <c r="C106" s="192"/>
      <c r="D106" s="192"/>
      <c r="G106" s="172"/>
      <c r="H106" s="88" t="s">
        <v>480</v>
      </c>
      <c r="I106" s="87">
        <v>24</v>
      </c>
      <c r="J106" s="25">
        <v>3</v>
      </c>
      <c r="K106" s="172"/>
      <c r="L106" s="172"/>
      <c r="M106" s="172"/>
      <c r="N106" s="172"/>
      <c r="O106" s="173"/>
      <c r="Q106" s="98"/>
    </row>
    <row r="107" spans="1:18" ht="67.5" x14ac:dyDescent="0.45">
      <c r="A107" s="187"/>
      <c r="B107" s="190"/>
      <c r="C107" s="192"/>
      <c r="D107" s="192"/>
      <c r="G107" s="172"/>
      <c r="H107" s="88" t="s">
        <v>481</v>
      </c>
      <c r="I107" s="87">
        <v>24</v>
      </c>
      <c r="J107" s="25">
        <v>3</v>
      </c>
      <c r="K107" s="172"/>
      <c r="L107" s="172"/>
      <c r="M107" s="172"/>
      <c r="N107" s="172"/>
      <c r="O107" s="173"/>
      <c r="Q107" s="98"/>
    </row>
    <row r="108" spans="1:18" ht="67.5" x14ac:dyDescent="0.45">
      <c r="A108" s="187"/>
      <c r="B108" s="190"/>
      <c r="C108" s="192"/>
      <c r="D108" s="192"/>
      <c r="G108" s="172"/>
      <c r="H108" s="88" t="s">
        <v>482</v>
      </c>
      <c r="I108" s="87">
        <v>24</v>
      </c>
      <c r="J108" s="25">
        <v>3</v>
      </c>
      <c r="K108" s="172"/>
      <c r="L108" s="172"/>
      <c r="M108" s="172"/>
      <c r="N108" s="172"/>
      <c r="O108" s="173"/>
      <c r="Q108" s="98"/>
    </row>
    <row r="109" spans="1:18" ht="40.5" x14ac:dyDescent="0.45">
      <c r="A109" s="187"/>
      <c r="B109" s="190"/>
      <c r="C109" s="192"/>
      <c r="D109" s="192" t="s">
        <v>483</v>
      </c>
      <c r="G109" s="88" t="s">
        <v>484</v>
      </c>
      <c r="H109" s="88" t="s">
        <v>485</v>
      </c>
      <c r="I109" s="25">
        <v>8</v>
      </c>
      <c r="J109" s="25">
        <v>2</v>
      </c>
      <c r="K109" s="172" t="s">
        <v>486</v>
      </c>
      <c r="L109" s="172" t="s">
        <v>487</v>
      </c>
      <c r="M109" s="172" t="s">
        <v>365</v>
      </c>
      <c r="N109" s="172" t="s">
        <v>366</v>
      </c>
      <c r="O109" s="173" t="s">
        <v>56</v>
      </c>
      <c r="Q109" s="98"/>
    </row>
    <row r="110" spans="1:18" ht="40.5" x14ac:dyDescent="0.45">
      <c r="A110" s="187"/>
      <c r="B110" s="190"/>
      <c r="C110" s="192"/>
      <c r="D110" s="192"/>
      <c r="G110" s="88" t="s">
        <v>488</v>
      </c>
      <c r="H110" s="88" t="s">
        <v>489</v>
      </c>
      <c r="I110" s="25">
        <v>8</v>
      </c>
      <c r="J110" s="25">
        <v>2</v>
      </c>
      <c r="K110" s="172"/>
      <c r="L110" s="172"/>
      <c r="M110" s="172"/>
      <c r="N110" s="172"/>
      <c r="O110" s="173"/>
      <c r="Q110" s="98"/>
    </row>
    <row r="111" spans="1:18" ht="40.5" x14ac:dyDescent="0.45">
      <c r="A111" s="187"/>
      <c r="B111" s="190"/>
      <c r="C111" s="192"/>
      <c r="D111" s="192"/>
      <c r="G111" s="88" t="s">
        <v>490</v>
      </c>
      <c r="H111" s="88" t="s">
        <v>491</v>
      </c>
      <c r="I111" s="25">
        <v>8</v>
      </c>
      <c r="J111" s="25">
        <v>2</v>
      </c>
      <c r="K111" s="172"/>
      <c r="L111" s="172"/>
      <c r="M111" s="172"/>
      <c r="N111" s="172"/>
      <c r="O111" s="173"/>
      <c r="Q111" s="98"/>
    </row>
    <row r="112" spans="1:18" ht="40.5" x14ac:dyDescent="0.45">
      <c r="A112" s="187"/>
      <c r="B112" s="190"/>
      <c r="C112" s="192"/>
      <c r="D112" s="193" t="s">
        <v>492</v>
      </c>
      <c r="G112" s="88" t="s">
        <v>493</v>
      </c>
      <c r="H112" s="88" t="s">
        <v>494</v>
      </c>
      <c r="I112" s="25">
        <v>12</v>
      </c>
      <c r="J112" s="25">
        <v>3</v>
      </c>
      <c r="K112" s="172" t="s">
        <v>495</v>
      </c>
      <c r="L112" s="172" t="s">
        <v>496</v>
      </c>
      <c r="M112" s="172" t="s">
        <v>365</v>
      </c>
      <c r="N112" s="172" t="s">
        <v>366</v>
      </c>
      <c r="O112" s="173" t="s">
        <v>56</v>
      </c>
      <c r="Q112" s="98"/>
    </row>
    <row r="113" spans="1:17" ht="54" x14ac:dyDescent="0.45">
      <c r="A113" s="187"/>
      <c r="B113" s="190"/>
      <c r="C113" s="192"/>
      <c r="D113" s="193"/>
      <c r="G113" s="88" t="s">
        <v>497</v>
      </c>
      <c r="H113" s="88" t="s">
        <v>498</v>
      </c>
      <c r="I113" s="25">
        <v>12</v>
      </c>
      <c r="J113" s="25">
        <v>3</v>
      </c>
      <c r="K113" s="172"/>
      <c r="L113" s="172"/>
      <c r="M113" s="172"/>
      <c r="N113" s="172"/>
      <c r="O113" s="173"/>
      <c r="Q113" s="98"/>
    </row>
    <row r="114" spans="1:17" ht="183.75" x14ac:dyDescent="0.45">
      <c r="A114" s="187"/>
      <c r="B114" s="190"/>
      <c r="C114" s="194" t="s">
        <v>499</v>
      </c>
      <c r="D114" s="37" t="s">
        <v>500</v>
      </c>
      <c r="G114" s="42" t="s">
        <v>501</v>
      </c>
      <c r="H114" s="42" t="s">
        <v>502</v>
      </c>
      <c r="I114" s="52">
        <v>10</v>
      </c>
      <c r="J114" s="41">
        <v>2</v>
      </c>
      <c r="K114" s="42" t="s">
        <v>503</v>
      </c>
      <c r="L114" s="42" t="s">
        <v>504</v>
      </c>
      <c r="M114" s="42" t="s">
        <v>117</v>
      </c>
      <c r="N114" s="42" t="s">
        <v>505</v>
      </c>
      <c r="O114" s="141" t="s">
        <v>506</v>
      </c>
      <c r="Q114" s="98"/>
    </row>
    <row r="115" spans="1:17" ht="183.75" x14ac:dyDescent="0.45">
      <c r="A115" s="187"/>
      <c r="B115" s="190"/>
      <c r="C115" s="194"/>
      <c r="D115" s="37" t="s">
        <v>507</v>
      </c>
      <c r="G115" s="42" t="s">
        <v>508</v>
      </c>
      <c r="H115" s="42" t="s">
        <v>509</v>
      </c>
      <c r="I115" s="52">
        <v>10</v>
      </c>
      <c r="J115" s="41">
        <v>2</v>
      </c>
      <c r="K115" s="42" t="s">
        <v>510</v>
      </c>
      <c r="L115" s="42" t="s">
        <v>511</v>
      </c>
      <c r="M115" s="42" t="s">
        <v>117</v>
      </c>
      <c r="N115" s="42" t="s">
        <v>512</v>
      </c>
      <c r="O115" s="141" t="s">
        <v>506</v>
      </c>
      <c r="Q115" s="98"/>
    </row>
    <row r="116" spans="1:17" ht="183.75" x14ac:dyDescent="0.45">
      <c r="A116" s="187"/>
      <c r="B116" s="190"/>
      <c r="C116" s="194"/>
      <c r="D116" s="38" t="s">
        <v>513</v>
      </c>
      <c r="G116" s="89" t="s">
        <v>514</v>
      </c>
      <c r="H116" s="89" t="s">
        <v>515</v>
      </c>
      <c r="I116" s="55">
        <v>10</v>
      </c>
      <c r="J116" s="55">
        <v>2</v>
      </c>
      <c r="K116" s="89" t="s">
        <v>516</v>
      </c>
      <c r="L116" s="94" t="s">
        <v>517</v>
      </c>
      <c r="M116" s="89" t="s">
        <v>117</v>
      </c>
      <c r="N116" s="89" t="s">
        <v>518</v>
      </c>
      <c r="O116" s="142" t="s">
        <v>506</v>
      </c>
      <c r="Q116" s="98"/>
    </row>
    <row r="117" spans="1:17" ht="144.4" x14ac:dyDescent="0.45">
      <c r="A117" s="187"/>
      <c r="B117" s="190"/>
      <c r="C117" s="194"/>
      <c r="D117" s="38" t="s">
        <v>519</v>
      </c>
      <c r="G117" s="89" t="s">
        <v>520</v>
      </c>
      <c r="H117" s="89" t="s">
        <v>521</v>
      </c>
      <c r="I117" s="55">
        <v>10</v>
      </c>
      <c r="J117" s="55">
        <v>2</v>
      </c>
      <c r="K117" s="89" t="s">
        <v>522</v>
      </c>
      <c r="L117" s="95" t="s">
        <v>277</v>
      </c>
      <c r="M117" s="89" t="s">
        <v>117</v>
      </c>
      <c r="N117" s="89" t="s">
        <v>518</v>
      </c>
      <c r="O117" s="142" t="s">
        <v>506</v>
      </c>
      <c r="Q117" s="98"/>
    </row>
    <row r="118" spans="1:17" ht="40.5" x14ac:dyDescent="0.45">
      <c r="A118" s="187"/>
      <c r="B118" s="195" t="s">
        <v>662</v>
      </c>
      <c r="C118" s="172" t="s">
        <v>523</v>
      </c>
      <c r="D118" s="196" t="s">
        <v>524</v>
      </c>
      <c r="G118" s="88" t="s">
        <v>525</v>
      </c>
      <c r="H118" s="88" t="s">
        <v>526</v>
      </c>
      <c r="I118" s="25">
        <v>4</v>
      </c>
      <c r="J118" s="25">
        <v>2</v>
      </c>
      <c r="K118" s="172" t="s">
        <v>527</v>
      </c>
      <c r="L118" s="172" t="s">
        <v>528</v>
      </c>
      <c r="M118" s="172" t="s">
        <v>365</v>
      </c>
      <c r="N118" s="172" t="s">
        <v>366</v>
      </c>
      <c r="O118" s="173" t="s">
        <v>56</v>
      </c>
      <c r="Q118" s="98"/>
    </row>
    <row r="119" spans="1:17" ht="67.5" x14ac:dyDescent="0.45">
      <c r="A119" s="187"/>
      <c r="B119" s="195"/>
      <c r="C119" s="172"/>
      <c r="D119" s="196"/>
      <c r="G119" s="88" t="s">
        <v>529</v>
      </c>
      <c r="H119" s="88" t="s">
        <v>530</v>
      </c>
      <c r="I119" s="25">
        <v>4</v>
      </c>
      <c r="J119" s="25">
        <v>2</v>
      </c>
      <c r="K119" s="172"/>
      <c r="L119" s="172"/>
      <c r="M119" s="172"/>
      <c r="N119" s="172"/>
      <c r="O119" s="173"/>
      <c r="Q119" s="98"/>
    </row>
    <row r="120" spans="1:17" ht="40.5" x14ac:dyDescent="0.45">
      <c r="A120" s="187"/>
      <c r="B120" s="195"/>
      <c r="C120" s="172"/>
      <c r="D120" s="196"/>
      <c r="G120" s="88" t="s">
        <v>531</v>
      </c>
      <c r="H120" s="88" t="s">
        <v>532</v>
      </c>
      <c r="I120" s="25">
        <v>4</v>
      </c>
      <c r="J120" s="25">
        <v>2</v>
      </c>
      <c r="K120" s="172"/>
      <c r="L120" s="172"/>
      <c r="M120" s="172"/>
      <c r="N120" s="172"/>
      <c r="O120" s="173"/>
      <c r="Q120" s="98"/>
    </row>
    <row r="121" spans="1:17" ht="27" x14ac:dyDescent="0.45">
      <c r="A121" s="187"/>
      <c r="B121" s="195"/>
      <c r="C121" s="172"/>
      <c r="D121" s="196"/>
      <c r="G121" s="88" t="s">
        <v>533</v>
      </c>
      <c r="H121" s="88" t="s">
        <v>534</v>
      </c>
      <c r="I121" s="25">
        <v>4</v>
      </c>
      <c r="J121" s="25">
        <v>2</v>
      </c>
      <c r="K121" s="172"/>
      <c r="L121" s="172"/>
      <c r="M121" s="172"/>
      <c r="N121" s="172"/>
      <c r="O121" s="173"/>
      <c r="Q121" s="98"/>
    </row>
    <row r="122" spans="1:17" ht="40.5" x14ac:dyDescent="0.45">
      <c r="A122" s="187"/>
      <c r="B122" s="195"/>
      <c r="C122" s="172"/>
      <c r="D122" s="196"/>
      <c r="G122" s="88" t="s">
        <v>535</v>
      </c>
      <c r="H122" s="88" t="s">
        <v>536</v>
      </c>
      <c r="I122" s="25">
        <v>4</v>
      </c>
      <c r="J122" s="25">
        <v>2</v>
      </c>
      <c r="K122" s="172"/>
      <c r="L122" s="172"/>
      <c r="M122" s="172"/>
      <c r="N122" s="172"/>
      <c r="O122" s="173"/>
      <c r="Q122" s="98"/>
    </row>
    <row r="123" spans="1:17" ht="27" x14ac:dyDescent="0.45">
      <c r="A123" s="187"/>
      <c r="B123" s="195"/>
      <c r="C123" s="172"/>
      <c r="D123" s="172" t="s">
        <v>537</v>
      </c>
      <c r="G123" s="175" t="s">
        <v>538</v>
      </c>
      <c r="H123" s="88" t="s">
        <v>539</v>
      </c>
      <c r="I123" s="25">
        <v>5</v>
      </c>
      <c r="J123" s="25">
        <v>3</v>
      </c>
      <c r="K123" s="172" t="s">
        <v>540</v>
      </c>
      <c r="L123" s="172" t="s">
        <v>541</v>
      </c>
      <c r="M123" s="174" t="s">
        <v>365</v>
      </c>
      <c r="N123" s="174" t="s">
        <v>366</v>
      </c>
      <c r="O123" s="173" t="s">
        <v>56</v>
      </c>
      <c r="Q123" s="98"/>
    </row>
    <row r="124" spans="1:17" ht="27" x14ac:dyDescent="0.45">
      <c r="A124" s="187"/>
      <c r="B124" s="195"/>
      <c r="C124" s="172"/>
      <c r="D124" s="172"/>
      <c r="G124" s="175"/>
      <c r="H124" s="88" t="s">
        <v>542</v>
      </c>
      <c r="I124" s="25">
        <v>5</v>
      </c>
      <c r="J124" s="25">
        <v>3</v>
      </c>
      <c r="K124" s="172"/>
      <c r="L124" s="172"/>
      <c r="M124" s="174"/>
      <c r="N124" s="174"/>
      <c r="O124" s="173"/>
      <c r="Q124" s="98"/>
    </row>
    <row r="125" spans="1:17" ht="27" x14ac:dyDescent="0.45">
      <c r="A125" s="187"/>
      <c r="B125" s="195"/>
      <c r="C125" s="172"/>
      <c r="D125" s="172"/>
      <c r="G125" s="175"/>
      <c r="H125" s="88" t="s">
        <v>543</v>
      </c>
      <c r="I125" s="25">
        <v>5</v>
      </c>
      <c r="J125" s="25">
        <v>3</v>
      </c>
      <c r="K125" s="172"/>
      <c r="L125" s="172"/>
      <c r="M125" s="174"/>
      <c r="N125" s="174"/>
      <c r="O125" s="173"/>
      <c r="Q125" s="98"/>
    </row>
    <row r="126" spans="1:17" ht="27" x14ac:dyDescent="0.45">
      <c r="A126" s="187"/>
      <c r="B126" s="195"/>
      <c r="C126" s="172"/>
      <c r="D126" s="172"/>
      <c r="G126" s="175"/>
      <c r="H126" s="88" t="s">
        <v>544</v>
      </c>
      <c r="I126" s="25">
        <v>4</v>
      </c>
      <c r="J126" s="25">
        <v>2</v>
      </c>
      <c r="K126" s="172"/>
      <c r="L126" s="172"/>
      <c r="M126" s="174"/>
      <c r="N126" s="174"/>
      <c r="O126" s="173"/>
      <c r="Q126" s="98"/>
    </row>
    <row r="127" spans="1:17" x14ac:dyDescent="0.45">
      <c r="A127" s="187"/>
      <c r="B127" s="195"/>
      <c r="C127" s="172"/>
      <c r="D127" s="172"/>
      <c r="G127" s="175"/>
      <c r="H127" s="88" t="s">
        <v>545</v>
      </c>
      <c r="I127" s="25">
        <v>4</v>
      </c>
      <c r="J127" s="25">
        <v>2</v>
      </c>
      <c r="K127" s="172"/>
      <c r="L127" s="172"/>
      <c r="M127" s="174"/>
      <c r="N127" s="174"/>
      <c r="O127" s="173"/>
      <c r="Q127" s="98"/>
    </row>
    <row r="128" spans="1:17" x14ac:dyDescent="0.45">
      <c r="A128" s="187"/>
      <c r="B128" s="195"/>
      <c r="C128" s="172"/>
      <c r="D128" s="172"/>
      <c r="G128" s="175"/>
      <c r="H128" s="88" t="s">
        <v>546</v>
      </c>
      <c r="I128" s="25">
        <v>4</v>
      </c>
      <c r="J128" s="25">
        <v>2</v>
      </c>
      <c r="K128" s="172"/>
      <c r="L128" s="172"/>
      <c r="M128" s="174"/>
      <c r="N128" s="174"/>
      <c r="O128" s="173"/>
      <c r="Q128" s="98"/>
    </row>
    <row r="129" spans="1:18" ht="27" x14ac:dyDescent="0.45">
      <c r="A129" s="187"/>
      <c r="B129" s="195"/>
      <c r="C129" s="172"/>
      <c r="D129" s="172"/>
      <c r="G129" s="175"/>
      <c r="H129" s="88" t="s">
        <v>547</v>
      </c>
      <c r="I129" s="25">
        <v>4</v>
      </c>
      <c r="J129" s="25">
        <v>2</v>
      </c>
      <c r="K129" s="172"/>
      <c r="L129" s="172"/>
      <c r="M129" s="174"/>
      <c r="N129" s="174"/>
      <c r="O129" s="173"/>
      <c r="Q129" s="98"/>
    </row>
    <row r="130" spans="1:18" ht="27" x14ac:dyDescent="0.45">
      <c r="A130" s="187"/>
      <c r="B130" s="195"/>
      <c r="C130" s="172"/>
      <c r="D130" s="172"/>
      <c r="G130" s="175"/>
      <c r="H130" s="88" t="s">
        <v>548</v>
      </c>
      <c r="I130" s="25">
        <v>4</v>
      </c>
      <c r="J130" s="25">
        <v>2</v>
      </c>
      <c r="K130" s="172"/>
      <c r="L130" s="172"/>
      <c r="M130" s="174"/>
      <c r="N130" s="174"/>
      <c r="O130" s="173"/>
      <c r="Q130" s="98"/>
    </row>
    <row r="131" spans="1:18" ht="27" x14ac:dyDescent="0.45">
      <c r="A131" s="187"/>
      <c r="B131" s="195"/>
      <c r="C131" s="172"/>
      <c r="D131" s="172"/>
      <c r="G131" s="175"/>
      <c r="H131" s="88" t="s">
        <v>549</v>
      </c>
      <c r="I131" s="25">
        <v>4</v>
      </c>
      <c r="J131" s="25">
        <v>2</v>
      </c>
      <c r="K131" s="172"/>
      <c r="L131" s="172"/>
      <c r="M131" s="174"/>
      <c r="N131" s="174"/>
      <c r="O131" s="173"/>
      <c r="Q131" s="98"/>
    </row>
    <row r="132" spans="1:18" ht="40.5" x14ac:dyDescent="0.45">
      <c r="A132" s="187"/>
      <c r="B132" s="195"/>
      <c r="C132" s="172"/>
      <c r="D132" s="174" t="s">
        <v>550</v>
      </c>
      <c r="G132" s="88" t="s">
        <v>551</v>
      </c>
      <c r="H132" s="88"/>
      <c r="I132" s="25">
        <v>8</v>
      </c>
      <c r="J132" s="25">
        <v>2</v>
      </c>
      <c r="K132" s="172" t="s">
        <v>552</v>
      </c>
      <c r="L132" s="172" t="s">
        <v>553</v>
      </c>
      <c r="M132" s="172" t="s">
        <v>365</v>
      </c>
      <c r="N132" s="172" t="s">
        <v>366</v>
      </c>
      <c r="O132" s="173" t="s">
        <v>56</v>
      </c>
      <c r="Q132" s="98"/>
    </row>
    <row r="133" spans="1:18" ht="40.5" x14ac:dyDescent="0.45">
      <c r="A133" s="187"/>
      <c r="B133" s="195"/>
      <c r="C133" s="172"/>
      <c r="D133" s="174"/>
      <c r="G133" s="88" t="s">
        <v>554</v>
      </c>
      <c r="H133" s="88" t="s">
        <v>555</v>
      </c>
      <c r="I133" s="25">
        <v>8</v>
      </c>
      <c r="J133" s="25">
        <v>2</v>
      </c>
      <c r="K133" s="172"/>
      <c r="L133" s="172"/>
      <c r="M133" s="172"/>
      <c r="N133" s="172"/>
      <c r="O133" s="173"/>
      <c r="Q133" s="98"/>
    </row>
    <row r="134" spans="1:18" ht="40.5" x14ac:dyDescent="0.45">
      <c r="A134" s="187"/>
      <c r="B134" s="195"/>
      <c r="C134" s="172"/>
      <c r="D134" s="174"/>
      <c r="G134" s="88" t="s">
        <v>556</v>
      </c>
      <c r="H134" s="88" t="s">
        <v>557</v>
      </c>
      <c r="I134" s="25">
        <v>8</v>
      </c>
      <c r="J134" s="25">
        <v>2</v>
      </c>
      <c r="K134" s="172"/>
      <c r="L134" s="172"/>
      <c r="M134" s="172"/>
      <c r="N134" s="172"/>
      <c r="O134" s="173"/>
      <c r="Q134" s="98"/>
    </row>
    <row r="135" spans="1:18" ht="40.5" x14ac:dyDescent="0.45">
      <c r="A135" s="187"/>
      <c r="B135" s="195"/>
      <c r="C135" s="172"/>
      <c r="D135" s="174" t="s">
        <v>558</v>
      </c>
      <c r="G135" s="88" t="s">
        <v>559</v>
      </c>
      <c r="H135" s="88" t="s">
        <v>560</v>
      </c>
      <c r="I135" s="25">
        <v>6</v>
      </c>
      <c r="J135" s="25">
        <v>2</v>
      </c>
      <c r="K135" s="172" t="s">
        <v>561</v>
      </c>
      <c r="L135" s="172" t="s">
        <v>562</v>
      </c>
      <c r="M135" s="172" t="s">
        <v>365</v>
      </c>
      <c r="N135" s="172" t="s">
        <v>366</v>
      </c>
      <c r="O135" s="173" t="s">
        <v>56</v>
      </c>
      <c r="Q135" s="98"/>
    </row>
    <row r="136" spans="1:18" ht="81" x14ac:dyDescent="0.45">
      <c r="A136" s="187"/>
      <c r="B136" s="195"/>
      <c r="C136" s="172"/>
      <c r="D136" s="174"/>
      <c r="G136" s="88" t="s">
        <v>563</v>
      </c>
      <c r="H136" s="88" t="s">
        <v>564</v>
      </c>
      <c r="I136" s="25">
        <v>6</v>
      </c>
      <c r="J136" s="25">
        <v>2</v>
      </c>
      <c r="K136" s="172"/>
      <c r="L136" s="172"/>
      <c r="M136" s="172"/>
      <c r="N136" s="172"/>
      <c r="O136" s="173"/>
      <c r="Q136" s="98"/>
    </row>
    <row r="137" spans="1:18" ht="40.5" x14ac:dyDescent="0.45">
      <c r="A137" s="187"/>
      <c r="B137" s="195"/>
      <c r="C137" s="172"/>
      <c r="D137" s="174"/>
      <c r="G137" s="90" t="s">
        <v>565</v>
      </c>
      <c r="H137" s="88" t="s">
        <v>566</v>
      </c>
      <c r="I137" s="25">
        <v>6</v>
      </c>
      <c r="J137" s="25">
        <v>2</v>
      </c>
      <c r="K137" s="172"/>
      <c r="L137" s="172"/>
      <c r="M137" s="172"/>
      <c r="N137" s="172"/>
      <c r="O137" s="173"/>
      <c r="Q137" s="98"/>
    </row>
    <row r="138" spans="1:18" ht="288.75" x14ac:dyDescent="0.45">
      <c r="A138" s="187"/>
      <c r="B138" s="195"/>
      <c r="C138" s="39" t="s">
        <v>567</v>
      </c>
      <c r="D138" s="40" t="s">
        <v>568</v>
      </c>
      <c r="G138" s="91" t="s">
        <v>569</v>
      </c>
      <c r="H138" s="91" t="s">
        <v>570</v>
      </c>
      <c r="I138" s="92">
        <v>52</v>
      </c>
      <c r="J138" s="92">
        <v>12</v>
      </c>
      <c r="K138" s="91" t="s">
        <v>571</v>
      </c>
      <c r="L138" s="91" t="s">
        <v>341</v>
      </c>
      <c r="M138" s="96" t="s">
        <v>117</v>
      </c>
      <c r="N138" s="91" t="s">
        <v>572</v>
      </c>
      <c r="O138" s="143" t="s">
        <v>119</v>
      </c>
      <c r="Q138" s="98"/>
    </row>
    <row r="139" spans="1:18" ht="105" x14ac:dyDescent="0.45">
      <c r="A139" s="187"/>
      <c r="B139" s="195"/>
      <c r="C139" s="197" t="s">
        <v>573</v>
      </c>
      <c r="D139" s="37" t="s">
        <v>574</v>
      </c>
      <c r="G139" s="45" t="s">
        <v>575</v>
      </c>
      <c r="H139" s="45" t="s">
        <v>576</v>
      </c>
      <c r="I139" s="80">
        <v>10</v>
      </c>
      <c r="J139" s="80">
        <v>2</v>
      </c>
      <c r="K139" s="45" t="s">
        <v>577</v>
      </c>
      <c r="L139" s="45" t="s">
        <v>578</v>
      </c>
      <c r="M139" s="58" t="s">
        <v>117</v>
      </c>
      <c r="N139" s="45" t="s">
        <v>278</v>
      </c>
      <c r="O139" s="144" t="s">
        <v>579</v>
      </c>
      <c r="Q139" s="98"/>
    </row>
    <row r="140" spans="1:18" ht="105" x14ac:dyDescent="0.45">
      <c r="A140" s="187"/>
      <c r="B140" s="195"/>
      <c r="C140" s="197"/>
      <c r="D140" s="37" t="s">
        <v>580</v>
      </c>
      <c r="G140" s="45" t="s">
        <v>581</v>
      </c>
      <c r="H140" s="45" t="s">
        <v>582</v>
      </c>
      <c r="I140" s="80">
        <v>10</v>
      </c>
      <c r="J140" s="80">
        <v>2</v>
      </c>
      <c r="K140" s="45" t="s">
        <v>583</v>
      </c>
      <c r="L140" s="45" t="s">
        <v>584</v>
      </c>
      <c r="M140" s="58" t="s">
        <v>117</v>
      </c>
      <c r="N140" s="45" t="s">
        <v>278</v>
      </c>
      <c r="O140" s="144" t="s">
        <v>579</v>
      </c>
      <c r="Q140" s="98"/>
    </row>
    <row r="141" spans="1:18" ht="65.650000000000006" x14ac:dyDescent="0.45">
      <c r="A141" s="187"/>
      <c r="B141" s="195"/>
      <c r="C141" s="197"/>
      <c r="D141" s="37" t="s">
        <v>585</v>
      </c>
      <c r="G141" s="45" t="s">
        <v>586</v>
      </c>
      <c r="H141" s="45" t="s">
        <v>587</v>
      </c>
      <c r="I141" s="80">
        <v>10</v>
      </c>
      <c r="J141" s="80">
        <v>2</v>
      </c>
      <c r="K141" s="45" t="s">
        <v>588</v>
      </c>
      <c r="L141" s="45" t="s">
        <v>589</v>
      </c>
      <c r="M141" s="58" t="s">
        <v>117</v>
      </c>
      <c r="N141" s="45" t="s">
        <v>278</v>
      </c>
      <c r="O141" s="144" t="s">
        <v>579</v>
      </c>
      <c r="Q141" s="98"/>
    </row>
    <row r="142" spans="1:18" ht="210" x14ac:dyDescent="0.45">
      <c r="A142" s="187"/>
      <c r="B142" s="195"/>
      <c r="C142" s="197"/>
      <c r="D142" s="37" t="s">
        <v>590</v>
      </c>
      <c r="G142" s="45" t="s">
        <v>591</v>
      </c>
      <c r="H142" s="45" t="s">
        <v>592</v>
      </c>
      <c r="I142" s="80">
        <v>10</v>
      </c>
      <c r="J142" s="80">
        <v>2</v>
      </c>
      <c r="K142" s="93" t="s">
        <v>593</v>
      </c>
      <c r="L142" s="45" t="s">
        <v>589</v>
      </c>
      <c r="M142" s="58" t="s">
        <v>117</v>
      </c>
      <c r="N142" s="45" t="s">
        <v>278</v>
      </c>
      <c r="O142" s="144" t="s">
        <v>579</v>
      </c>
      <c r="Q142" s="98"/>
    </row>
    <row r="143" spans="1:18" ht="114.4" thickBot="1" x14ac:dyDescent="0.5">
      <c r="A143" s="188"/>
      <c r="B143" s="145" t="s">
        <v>663</v>
      </c>
      <c r="C143" s="146" t="s">
        <v>594</v>
      </c>
      <c r="D143" s="147" t="s">
        <v>595</v>
      </c>
      <c r="E143" s="106"/>
      <c r="F143" s="106"/>
      <c r="G143" s="148"/>
      <c r="H143" s="149"/>
      <c r="I143" s="176"/>
      <c r="J143" s="176"/>
      <c r="K143" s="150" t="s">
        <v>596</v>
      </c>
      <c r="L143" s="149"/>
      <c r="M143" s="151"/>
      <c r="N143" s="151"/>
      <c r="O143" s="152"/>
      <c r="R143" s="160">
        <v>46508</v>
      </c>
    </row>
    <row r="144" spans="1:18" x14ac:dyDescent="0.45">
      <c r="I144">
        <f>SUM(I18:I142)</f>
        <v>2720</v>
      </c>
      <c r="J144">
        <f>SUM(J18:J142)</f>
        <v>640</v>
      </c>
      <c r="K144">
        <f>I144+J144</f>
        <v>3360</v>
      </c>
    </row>
  </sheetData>
  <mergeCells count="184">
    <mergeCell ref="R76:R80"/>
    <mergeCell ref="R85:R90"/>
    <mergeCell ref="E19:E23"/>
    <mergeCell ref="F19:F23"/>
    <mergeCell ref="E24:E27"/>
    <mergeCell ref="F24:F27"/>
    <mergeCell ref="C30:C33"/>
    <mergeCell ref="F30:F32"/>
    <mergeCell ref="E30:E32"/>
    <mergeCell ref="F43:F44"/>
    <mergeCell ref="F45:F46"/>
    <mergeCell ref="E43:E44"/>
    <mergeCell ref="E45:E46"/>
    <mergeCell ref="D43:D44"/>
    <mergeCell ref="D45:D46"/>
    <mergeCell ref="Q18:Q35"/>
    <mergeCell ref="Q36:Q54"/>
    <mergeCell ref="Q55:Q72"/>
    <mergeCell ref="Q73:Q84"/>
    <mergeCell ref="Q85:Q92"/>
    <mergeCell ref="D55:D56"/>
    <mergeCell ref="C57:C59"/>
    <mergeCell ref="D57:D59"/>
    <mergeCell ref="C62:C65"/>
    <mergeCell ref="Q93:Q104"/>
    <mergeCell ref="E6:P6"/>
    <mergeCell ref="E7:P7"/>
    <mergeCell ref="E8:P8"/>
    <mergeCell ref="E9:P9"/>
    <mergeCell ref="M16:O16"/>
    <mergeCell ref="H13:M13"/>
    <mergeCell ref="N13:P13"/>
    <mergeCell ref="H14:M14"/>
    <mergeCell ref="N14:P14"/>
    <mergeCell ref="P22:P23"/>
    <mergeCell ref="P24:P27"/>
    <mergeCell ref="P36:P39"/>
    <mergeCell ref="K43:K46"/>
    <mergeCell ref="P57:P58"/>
    <mergeCell ref="K79:K80"/>
    <mergeCell ref="K85:K87"/>
    <mergeCell ref="K88:K90"/>
    <mergeCell ref="K91:K92"/>
    <mergeCell ref="M96:M100"/>
    <mergeCell ref="N96:N100"/>
    <mergeCell ref="O96:O100"/>
    <mergeCell ref="P76:P80"/>
    <mergeCell ref="P85:P89"/>
    <mergeCell ref="A16:A17"/>
    <mergeCell ref="B16:B17"/>
    <mergeCell ref="P16:P17"/>
    <mergeCell ref="C16:C17"/>
    <mergeCell ref="H16:H17"/>
    <mergeCell ref="I16:J16"/>
    <mergeCell ref="D16:D17"/>
    <mergeCell ref="L16:L17"/>
    <mergeCell ref="E16:E17"/>
    <mergeCell ref="F16:F17"/>
    <mergeCell ref="G16:G17"/>
    <mergeCell ref="K16:K17"/>
    <mergeCell ref="A11:D14"/>
    <mergeCell ref="A1:O2"/>
    <mergeCell ref="A3:P3"/>
    <mergeCell ref="A4:P4"/>
    <mergeCell ref="A7:D7"/>
    <mergeCell ref="A5:D5"/>
    <mergeCell ref="A6:D6"/>
    <mergeCell ref="A8:D8"/>
    <mergeCell ref="A9:D9"/>
    <mergeCell ref="A10:D10"/>
    <mergeCell ref="H10:P10"/>
    <mergeCell ref="H11:M11"/>
    <mergeCell ref="N11:P11"/>
    <mergeCell ref="H12:M12"/>
    <mergeCell ref="N12:P12"/>
    <mergeCell ref="E5:P5"/>
    <mergeCell ref="A18:A42"/>
    <mergeCell ref="B19:B27"/>
    <mergeCell ref="C19:C23"/>
    <mergeCell ref="D19:D20"/>
    <mergeCell ref="C24:C27"/>
    <mergeCell ref="B28:B29"/>
    <mergeCell ref="B30:B35"/>
    <mergeCell ref="D30:D32"/>
    <mergeCell ref="B36:B42"/>
    <mergeCell ref="C37:C38"/>
    <mergeCell ref="D37:D38"/>
    <mergeCell ref="C40:C42"/>
    <mergeCell ref="C74:C75"/>
    <mergeCell ref="C83:C84"/>
    <mergeCell ref="A76:A102"/>
    <mergeCell ref="B76:B84"/>
    <mergeCell ref="C76:C80"/>
    <mergeCell ref="C81:C82"/>
    <mergeCell ref="A43:A75"/>
    <mergeCell ref="B43:B54"/>
    <mergeCell ref="C43:C46"/>
    <mergeCell ref="B70:B75"/>
    <mergeCell ref="C71:C72"/>
    <mergeCell ref="B85:B102"/>
    <mergeCell ref="C85:C100"/>
    <mergeCell ref="C101:C102"/>
    <mergeCell ref="C47:C50"/>
    <mergeCell ref="C51:C54"/>
    <mergeCell ref="B55:B69"/>
    <mergeCell ref="C55:C56"/>
    <mergeCell ref="C66:C69"/>
    <mergeCell ref="A103:A143"/>
    <mergeCell ref="B103:B117"/>
    <mergeCell ref="C103:C113"/>
    <mergeCell ref="D103:D108"/>
    <mergeCell ref="D109:D111"/>
    <mergeCell ref="D112:D113"/>
    <mergeCell ref="C114:C117"/>
    <mergeCell ref="B118:B142"/>
    <mergeCell ref="C118:C137"/>
    <mergeCell ref="D118:D122"/>
    <mergeCell ref="D123:D131"/>
    <mergeCell ref="D132:D134"/>
    <mergeCell ref="D135:D137"/>
    <mergeCell ref="C139:C142"/>
    <mergeCell ref="D76:D78"/>
    <mergeCell ref="D79:D80"/>
    <mergeCell ref="G85:G87"/>
    <mergeCell ref="G88:G90"/>
    <mergeCell ref="G91:G92"/>
    <mergeCell ref="G96:G100"/>
    <mergeCell ref="D85:D90"/>
    <mergeCell ref="D91:D95"/>
    <mergeCell ref="D96:D100"/>
    <mergeCell ref="K94:K95"/>
    <mergeCell ref="K96:K100"/>
    <mergeCell ref="P91:P95"/>
    <mergeCell ref="P96:P97"/>
    <mergeCell ref="L85:L87"/>
    <mergeCell ref="L88:L90"/>
    <mergeCell ref="M85:M87"/>
    <mergeCell ref="N85:N87"/>
    <mergeCell ref="O85:O87"/>
    <mergeCell ref="M88:M90"/>
    <mergeCell ref="N88:N90"/>
    <mergeCell ref="O88:O90"/>
    <mergeCell ref="G123:G131"/>
    <mergeCell ref="I143:J143"/>
    <mergeCell ref="K104:K108"/>
    <mergeCell ref="K109:K111"/>
    <mergeCell ref="K112:K113"/>
    <mergeCell ref="K118:K122"/>
    <mergeCell ref="K123:K131"/>
    <mergeCell ref="K132:K134"/>
    <mergeCell ref="K135:K137"/>
    <mergeCell ref="N109:N111"/>
    <mergeCell ref="O109:O111"/>
    <mergeCell ref="L112:L113"/>
    <mergeCell ref="M112:M113"/>
    <mergeCell ref="N112:N113"/>
    <mergeCell ref="O112:O113"/>
    <mergeCell ref="L118:L122"/>
    <mergeCell ref="M118:M122"/>
    <mergeCell ref="G104:G108"/>
    <mergeCell ref="S85:S90"/>
    <mergeCell ref="R18:R35"/>
    <mergeCell ref="R36:R54"/>
    <mergeCell ref="R55:R72"/>
    <mergeCell ref="L135:L137"/>
    <mergeCell ref="M135:M137"/>
    <mergeCell ref="N135:N137"/>
    <mergeCell ref="O135:O137"/>
    <mergeCell ref="L123:L131"/>
    <mergeCell ref="M123:M131"/>
    <mergeCell ref="N123:N131"/>
    <mergeCell ref="O123:O131"/>
    <mergeCell ref="L132:L134"/>
    <mergeCell ref="M132:M134"/>
    <mergeCell ref="N132:N134"/>
    <mergeCell ref="O132:O134"/>
    <mergeCell ref="N118:N122"/>
    <mergeCell ref="O118:O122"/>
    <mergeCell ref="L104:L108"/>
    <mergeCell ref="M104:M108"/>
    <mergeCell ref="N104:N108"/>
    <mergeCell ref="O104:O108"/>
    <mergeCell ref="L109:L111"/>
    <mergeCell ref="M109:M111"/>
  </mergeCells>
  <hyperlinks>
    <hyperlink ref="P22" r:id="rId1" display="../../../../../:f:/g/personal/tejedor63_soy_sena_edu_co/EkTcaGYL21JGoXDWZLIBnwUB61qYzvHaTXqElzHF4X_80A?e=yT8vnN" xr:uid="{A2CA04FE-0B3C-47D3-9A59-9758D9709CA5}"/>
    <hyperlink ref="P24" r:id="rId2" display="../../../../../:f:/g/personal/tejedor63_soy_sena_edu_co/Ejiaf5Llq3FOgzJCo6o6sQEBBEVamV1B3oWTy1fthJDJiQ?e=qISwvb" xr:uid="{5BAB5F68-C229-4100-84AC-BAF33A57DF0C}"/>
    <hyperlink ref="P60" r:id="rId3" display="../../../../../:f:/g/personal/tejedor63_soy_sena_edu_co/EhDANjpK_gxIpX5MW5xa7c0BWK_KYWQchgiv0TKFlrng9A?e=wgcceh" xr:uid="{C6597265-67E4-4A5A-A51E-EFAE2CD8B316}"/>
    <hyperlink ref="P85" r:id="rId4" display="../../../../../:f:/g/personal/tejedor63_soy_sena_edu_co/ElruRE60KwBOtEPEezFy_Q0BZcfRQ0OFrKR_-kmugKZJLA?e=Q8CBA7" xr:uid="{53A092B9-6BC2-44C5-B6D9-96A150A161FA}"/>
    <hyperlink ref="P98" r:id="rId5" display="../../../../../:f:/g/personal/tejedor63_soy_sena_edu_co/Ejx63BufkJ1FtD-MCSGtrKIBH2MrLO0NzGMjMmG_80N8GQ?e=YFN2ri" xr:uid="{A6B0B646-9749-4042-AA5C-5CE7B5EA29A3}"/>
  </hyperlinks>
  <pageMargins left="0.70866141732283472" right="0.70866141732283472" top="0.74803149606299213" bottom="0.74803149606299213" header="0.31496062992125984" footer="0.31496062992125984"/>
  <pageSetup paperSize="5" scale="40" orientation="landscape" horizontalDpi="4294967292" verticalDpi="4294967292" r:id="rId6"/>
  <headerFooter>
    <oddHeader>&amp;C
&amp;G</oddHeader>
    <oddFooter xml:space="preserve">&amp;RGFPI-F-134  </oddFooter>
  </headerFooter>
  <drawing r:id="rId7"/>
  <legacyDrawing r:id="rId8"/>
  <legacyDrawingHF r:id="rId9"/>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showGridLines="0" view="pageBreakPreview" topLeftCell="A8" zoomScale="60" zoomScaleNormal="80" workbookViewId="0">
      <selection activeCell="G21" sqref="G21:J22"/>
    </sheetView>
  </sheetViews>
  <sheetFormatPr baseColWidth="10" defaultColWidth="11.46484375" defaultRowHeight="14.25" x14ac:dyDescent="0.45"/>
  <cols>
    <col min="1" max="2" width="52.53125" style="2" customWidth="1"/>
    <col min="3" max="15" width="25.53125" style="2" customWidth="1"/>
    <col min="16" max="16384" width="11.46484375" style="2"/>
  </cols>
  <sheetData>
    <row r="1" spans="1:10" ht="36.75" customHeight="1" x14ac:dyDescent="0.45">
      <c r="A1" s="320"/>
      <c r="B1" s="320"/>
      <c r="C1" s="320"/>
      <c r="D1" s="320"/>
      <c r="E1" s="320"/>
      <c r="F1" s="320"/>
      <c r="G1" s="320"/>
      <c r="H1" s="320"/>
      <c r="I1" s="320"/>
      <c r="J1" s="320"/>
    </row>
    <row r="2" spans="1:10" ht="59.25" customHeight="1" x14ac:dyDescent="0.45">
      <c r="A2" s="320"/>
      <c r="B2" s="320"/>
      <c r="C2" s="320"/>
      <c r="D2" s="320"/>
      <c r="E2" s="320"/>
      <c r="F2" s="320"/>
      <c r="G2" s="320"/>
      <c r="H2" s="320"/>
      <c r="I2" s="320"/>
      <c r="J2" s="320"/>
    </row>
    <row r="3" spans="1:10" ht="15.75" x14ac:dyDescent="0.45">
      <c r="A3" s="321" t="s">
        <v>597</v>
      </c>
      <c r="B3" s="321"/>
      <c r="C3" s="321"/>
      <c r="D3" s="321"/>
      <c r="E3" s="321"/>
      <c r="F3" s="321"/>
      <c r="G3" s="321"/>
      <c r="H3" s="321"/>
      <c r="I3" s="321"/>
      <c r="J3" s="3" t="s">
        <v>598</v>
      </c>
    </row>
    <row r="4" spans="1:10" ht="28.5" x14ac:dyDescent="0.45">
      <c r="A4" s="321"/>
      <c r="B4" s="321"/>
      <c r="C4" s="321"/>
      <c r="D4" s="321"/>
      <c r="E4" s="321"/>
      <c r="F4" s="321"/>
      <c r="G4" s="321"/>
      <c r="H4" s="321"/>
      <c r="I4" s="321"/>
      <c r="J4" s="5" t="s">
        <v>1</v>
      </c>
    </row>
    <row r="5" spans="1:10" ht="15.75" x14ac:dyDescent="0.45">
      <c r="A5" s="322" t="s">
        <v>599</v>
      </c>
      <c r="B5" s="322"/>
      <c r="C5" s="322"/>
      <c r="D5" s="322"/>
      <c r="E5" s="322"/>
      <c r="F5" s="322"/>
      <c r="G5" s="322"/>
      <c r="H5" s="322"/>
      <c r="I5" s="322"/>
      <c r="J5" s="322"/>
    </row>
    <row r="6" spans="1:10" ht="15.75" x14ac:dyDescent="0.45">
      <c r="A6" s="322" t="s">
        <v>600</v>
      </c>
      <c r="B6" s="322"/>
      <c r="C6" s="322"/>
      <c r="D6" s="322"/>
      <c r="E6" s="322"/>
      <c r="F6" s="322"/>
      <c r="G6" s="322"/>
      <c r="H6" s="322"/>
      <c r="I6" s="322"/>
      <c r="J6" s="322"/>
    </row>
    <row r="7" spans="1:10" ht="15.75" x14ac:dyDescent="0.5">
      <c r="A7" s="323" t="s">
        <v>601</v>
      </c>
      <c r="B7" s="323"/>
      <c r="C7" s="323"/>
      <c r="D7" s="323"/>
      <c r="E7" s="323"/>
      <c r="F7" s="323"/>
      <c r="G7" s="323"/>
      <c r="H7" s="323"/>
      <c r="I7" s="323"/>
      <c r="J7" s="323"/>
    </row>
    <row r="8" spans="1:10" ht="15" customHeight="1" x14ac:dyDescent="0.45">
      <c r="A8" s="324" t="s">
        <v>4</v>
      </c>
      <c r="B8" s="324"/>
      <c r="C8" s="324"/>
      <c r="D8" s="325" t="s">
        <v>602</v>
      </c>
      <c r="E8" s="325"/>
      <c r="F8" s="325"/>
      <c r="G8" s="325"/>
      <c r="H8" s="325"/>
      <c r="I8" s="325"/>
      <c r="J8" s="325"/>
    </row>
    <row r="9" spans="1:10" ht="15.75" customHeight="1" x14ac:dyDescent="0.45">
      <c r="A9" s="324" t="s">
        <v>5</v>
      </c>
      <c r="B9" s="324"/>
      <c r="C9" s="324"/>
      <c r="D9" s="325" t="s">
        <v>603</v>
      </c>
      <c r="E9" s="325"/>
      <c r="F9" s="325"/>
      <c r="G9" s="325"/>
      <c r="H9" s="325"/>
      <c r="I9" s="325"/>
      <c r="J9" s="325"/>
    </row>
    <row r="10" spans="1:10" ht="15.75" customHeight="1" x14ac:dyDescent="0.45">
      <c r="A10" s="324" t="s">
        <v>604</v>
      </c>
      <c r="B10" s="324"/>
      <c r="C10" s="324"/>
      <c r="D10" s="325" t="s">
        <v>605</v>
      </c>
      <c r="E10" s="325"/>
      <c r="F10" s="325"/>
      <c r="G10" s="325"/>
      <c r="H10" s="325"/>
      <c r="I10" s="325"/>
      <c r="J10" s="325"/>
    </row>
    <row r="11" spans="1:10" ht="15.75" customHeight="1" x14ac:dyDescent="0.45">
      <c r="A11" s="324" t="s">
        <v>606</v>
      </c>
      <c r="B11" s="324"/>
      <c r="C11" s="324"/>
      <c r="D11" s="325" t="s">
        <v>607</v>
      </c>
      <c r="E11" s="325"/>
      <c r="F11" s="325"/>
      <c r="G11" s="325"/>
      <c r="H11" s="325"/>
      <c r="I11" s="325"/>
      <c r="J11" s="325"/>
    </row>
    <row r="12" spans="1:10" ht="15.75" customHeight="1" x14ac:dyDescent="0.45">
      <c r="A12" s="324" t="s">
        <v>608</v>
      </c>
      <c r="B12" s="324"/>
      <c r="C12" s="324"/>
      <c r="D12" s="325" t="s">
        <v>609</v>
      </c>
      <c r="E12" s="325"/>
      <c r="F12" s="325"/>
      <c r="G12" s="325"/>
      <c r="H12" s="325"/>
      <c r="I12" s="325"/>
      <c r="J12" s="325"/>
    </row>
    <row r="13" spans="1:10" ht="16.5" customHeight="1" x14ac:dyDescent="0.45">
      <c r="A13" s="324" t="s">
        <v>610</v>
      </c>
      <c r="B13" s="324"/>
      <c r="C13" s="324"/>
      <c r="D13" s="325" t="s">
        <v>14</v>
      </c>
      <c r="E13" s="325"/>
      <c r="F13" s="325"/>
      <c r="G13" s="325"/>
      <c r="H13" s="325"/>
      <c r="I13" s="325"/>
      <c r="J13" s="325"/>
    </row>
    <row r="14" spans="1:10" ht="16.5" customHeight="1" x14ac:dyDescent="0.45">
      <c r="A14" s="324" t="s">
        <v>19</v>
      </c>
      <c r="B14" s="324"/>
      <c r="C14" s="324"/>
      <c r="D14" s="325" t="s">
        <v>611</v>
      </c>
      <c r="E14" s="325"/>
      <c r="F14" s="325"/>
      <c r="G14" s="325"/>
      <c r="H14" s="325"/>
      <c r="I14" s="325"/>
      <c r="J14" s="325"/>
    </row>
    <row r="15" spans="1:10" ht="15.75" x14ac:dyDescent="0.5">
      <c r="A15" s="318" t="s">
        <v>612</v>
      </c>
      <c r="B15" s="318"/>
      <c r="C15" s="318"/>
      <c r="D15" s="318"/>
      <c r="E15" s="318"/>
      <c r="F15" s="318"/>
      <c r="G15" s="318"/>
      <c r="H15" s="318"/>
      <c r="I15" s="318"/>
      <c r="J15" s="318"/>
    </row>
    <row r="16" spans="1:10" ht="15.75" x14ac:dyDescent="0.45">
      <c r="A16" s="6" t="s">
        <v>613</v>
      </c>
      <c r="B16" s="319" t="s">
        <v>614</v>
      </c>
      <c r="C16" s="319"/>
      <c r="D16" s="319"/>
      <c r="E16" s="319"/>
      <c r="F16" s="319"/>
      <c r="G16" s="319" t="s">
        <v>615</v>
      </c>
      <c r="H16" s="319"/>
      <c r="I16" s="319"/>
      <c r="J16" s="319"/>
    </row>
    <row r="17" spans="1:10" ht="18.75" customHeight="1" x14ac:dyDescent="0.45">
      <c r="A17" s="316" t="s">
        <v>616</v>
      </c>
      <c r="B17" s="315" t="s">
        <v>617</v>
      </c>
      <c r="C17" s="315"/>
      <c r="D17" s="315"/>
      <c r="E17" s="315"/>
      <c r="F17" s="315"/>
      <c r="G17" s="300"/>
      <c r="H17" s="301"/>
      <c r="I17" s="301"/>
      <c r="J17" s="302"/>
    </row>
    <row r="18" spans="1:10" ht="24" customHeight="1" x14ac:dyDescent="0.45">
      <c r="A18" s="316"/>
      <c r="B18" s="315"/>
      <c r="C18" s="315"/>
      <c r="D18" s="315"/>
      <c r="E18" s="315"/>
      <c r="F18" s="315"/>
      <c r="G18" s="303"/>
      <c r="H18" s="304"/>
      <c r="I18" s="304"/>
      <c r="J18" s="305"/>
    </row>
    <row r="19" spans="1:10" ht="30" customHeight="1" x14ac:dyDescent="0.45">
      <c r="A19" s="316" t="s">
        <v>618</v>
      </c>
      <c r="B19" s="315" t="s">
        <v>619</v>
      </c>
      <c r="C19" s="315"/>
      <c r="D19" s="315"/>
      <c r="E19" s="315"/>
      <c r="F19" s="315"/>
      <c r="G19" s="300"/>
      <c r="H19" s="301"/>
      <c r="I19" s="301"/>
      <c r="J19" s="302"/>
    </row>
    <row r="20" spans="1:10" ht="15.75" customHeight="1" x14ac:dyDescent="0.45">
      <c r="A20" s="316"/>
      <c r="B20" s="315"/>
      <c r="C20" s="315"/>
      <c r="D20" s="315"/>
      <c r="E20" s="315"/>
      <c r="F20" s="315"/>
      <c r="G20" s="303"/>
      <c r="H20" s="304"/>
      <c r="I20" s="304"/>
      <c r="J20" s="305"/>
    </row>
    <row r="21" spans="1:10" ht="30" customHeight="1" x14ac:dyDescent="0.45">
      <c r="A21" s="316" t="s">
        <v>620</v>
      </c>
      <c r="B21" s="315" t="s">
        <v>621</v>
      </c>
      <c r="C21" s="315"/>
      <c r="D21" s="315"/>
      <c r="E21" s="315"/>
      <c r="F21" s="315"/>
      <c r="G21" s="300"/>
      <c r="H21" s="301"/>
      <c r="I21" s="301"/>
      <c r="J21" s="302"/>
    </row>
    <row r="22" spans="1:10" ht="15.75" customHeight="1" x14ac:dyDescent="0.45">
      <c r="A22" s="316"/>
      <c r="B22" s="315"/>
      <c r="C22" s="315"/>
      <c r="D22" s="315"/>
      <c r="E22" s="315"/>
      <c r="F22" s="315"/>
      <c r="G22" s="303"/>
      <c r="H22" s="304"/>
      <c r="I22" s="304"/>
      <c r="J22" s="305"/>
    </row>
    <row r="23" spans="1:10" ht="30" customHeight="1" x14ac:dyDescent="0.45">
      <c r="A23" s="316" t="s">
        <v>622</v>
      </c>
      <c r="B23" s="315" t="s">
        <v>623</v>
      </c>
      <c r="C23" s="315"/>
      <c r="D23" s="315"/>
      <c r="E23" s="315"/>
      <c r="F23" s="315"/>
      <c r="G23" s="300"/>
      <c r="H23" s="301"/>
      <c r="I23" s="301"/>
      <c r="J23" s="302"/>
    </row>
    <row r="24" spans="1:10" ht="15.75" customHeight="1" x14ac:dyDescent="0.45">
      <c r="A24" s="316"/>
      <c r="B24" s="315"/>
      <c r="C24" s="315"/>
      <c r="D24" s="315"/>
      <c r="E24" s="315"/>
      <c r="F24" s="315"/>
      <c r="G24" s="303"/>
      <c r="H24" s="304"/>
      <c r="I24" s="304"/>
      <c r="J24" s="305"/>
    </row>
    <row r="25" spans="1:10" ht="30" customHeight="1" x14ac:dyDescent="0.45">
      <c r="A25" s="316" t="s">
        <v>624</v>
      </c>
      <c r="B25" s="315" t="s">
        <v>625</v>
      </c>
      <c r="C25" s="315"/>
      <c r="D25" s="315"/>
      <c r="E25" s="315"/>
      <c r="F25" s="315"/>
      <c r="G25" s="300"/>
      <c r="H25" s="301"/>
      <c r="I25" s="301"/>
      <c r="J25" s="302"/>
    </row>
    <row r="26" spans="1:10" ht="15.75" customHeight="1" x14ac:dyDescent="0.45">
      <c r="A26" s="316"/>
      <c r="B26" s="315"/>
      <c r="C26" s="315"/>
      <c r="D26" s="315"/>
      <c r="E26" s="315"/>
      <c r="F26" s="315"/>
      <c r="G26" s="303"/>
      <c r="H26" s="304"/>
      <c r="I26" s="304"/>
      <c r="J26" s="305"/>
    </row>
    <row r="27" spans="1:10" ht="36.75" customHeight="1" x14ac:dyDescent="0.45">
      <c r="A27" s="10" t="s">
        <v>626</v>
      </c>
      <c r="B27" s="306"/>
      <c r="C27" s="307"/>
      <c r="D27" s="307"/>
      <c r="E27" s="307"/>
      <c r="F27" s="308"/>
      <c r="G27" s="7"/>
      <c r="H27" s="8"/>
      <c r="I27" s="8"/>
      <c r="J27" s="9"/>
    </row>
    <row r="28" spans="1:10" ht="36.75" customHeight="1" x14ac:dyDescent="0.45">
      <c r="A28" s="10" t="s">
        <v>627</v>
      </c>
      <c r="B28" s="309" t="s">
        <v>628</v>
      </c>
      <c r="C28" s="310"/>
      <c r="D28" s="310"/>
      <c r="E28" s="310"/>
      <c r="F28" s="311"/>
      <c r="G28" s="312"/>
      <c r="H28" s="313"/>
      <c r="I28" s="313"/>
      <c r="J28" s="314"/>
    </row>
    <row r="29" spans="1:10" ht="36.75" customHeight="1" x14ac:dyDescent="0.45">
      <c r="A29" s="10" t="s">
        <v>629</v>
      </c>
      <c r="B29" s="315" t="s">
        <v>630</v>
      </c>
      <c r="C29" s="315"/>
      <c r="D29" s="315"/>
      <c r="E29" s="315"/>
      <c r="F29" s="315"/>
      <c r="G29" s="312"/>
      <c r="H29" s="313"/>
      <c r="I29" s="313"/>
      <c r="J29" s="314"/>
    </row>
    <row r="30" spans="1:10" ht="30" customHeight="1" x14ac:dyDescent="0.45">
      <c r="A30" s="316" t="s">
        <v>631</v>
      </c>
      <c r="B30" s="315" t="s">
        <v>632</v>
      </c>
      <c r="C30" s="315"/>
      <c r="D30" s="315"/>
      <c r="E30" s="315"/>
      <c r="F30" s="315"/>
      <c r="G30" s="300"/>
      <c r="H30" s="301"/>
      <c r="I30" s="301"/>
      <c r="J30" s="302"/>
    </row>
    <row r="31" spans="1:10" ht="15.75" customHeight="1" x14ac:dyDescent="0.45">
      <c r="A31" s="316"/>
      <c r="B31" s="315"/>
      <c r="C31" s="315"/>
      <c r="D31" s="315"/>
      <c r="E31" s="315"/>
      <c r="F31" s="315"/>
      <c r="G31" s="303"/>
      <c r="H31" s="304"/>
      <c r="I31" s="304"/>
      <c r="J31" s="305"/>
    </row>
    <row r="32" spans="1:10" ht="42.75" customHeight="1" x14ac:dyDescent="0.45">
      <c r="A32" s="10" t="s">
        <v>633</v>
      </c>
      <c r="B32" s="309"/>
      <c r="C32" s="310"/>
      <c r="D32" s="310"/>
      <c r="E32" s="310"/>
      <c r="F32" s="311"/>
      <c r="G32" s="7"/>
      <c r="H32" s="8"/>
      <c r="I32" s="8"/>
      <c r="J32" s="9"/>
    </row>
    <row r="33" spans="1:10" ht="45" customHeight="1" x14ac:dyDescent="0.45">
      <c r="A33" s="10" t="s">
        <v>634</v>
      </c>
      <c r="B33" s="315" t="s">
        <v>635</v>
      </c>
      <c r="C33" s="315"/>
      <c r="D33" s="315"/>
      <c r="E33" s="315"/>
      <c r="F33" s="315"/>
      <c r="G33" s="312"/>
      <c r="H33" s="313"/>
      <c r="I33" s="313"/>
      <c r="J33" s="314"/>
    </row>
    <row r="34" spans="1:10" ht="44.25" customHeight="1" x14ac:dyDescent="0.45">
      <c r="A34" s="10" t="s">
        <v>636</v>
      </c>
      <c r="B34" s="315" t="s">
        <v>637</v>
      </c>
      <c r="C34" s="315"/>
      <c r="D34" s="315"/>
      <c r="E34" s="315"/>
      <c r="F34" s="315"/>
      <c r="G34" s="312"/>
      <c r="H34" s="313"/>
      <c r="I34" s="313"/>
      <c r="J34" s="314"/>
    </row>
    <row r="35" spans="1:10" ht="15" customHeight="1" x14ac:dyDescent="0.45">
      <c r="A35" s="10" t="s">
        <v>638</v>
      </c>
      <c r="B35" s="315" t="s">
        <v>639</v>
      </c>
      <c r="C35" s="315"/>
      <c r="D35" s="315"/>
      <c r="E35" s="315"/>
      <c r="F35" s="315"/>
      <c r="G35" s="312"/>
      <c r="H35" s="313"/>
      <c r="I35" s="313"/>
      <c r="J35" s="314"/>
    </row>
    <row r="36" spans="1:10" ht="30" customHeight="1" x14ac:dyDescent="0.45">
      <c r="A36" s="316" t="s">
        <v>640</v>
      </c>
      <c r="B36" s="315" t="s">
        <v>641</v>
      </c>
      <c r="C36" s="315"/>
      <c r="D36" s="315"/>
      <c r="E36" s="315"/>
      <c r="F36" s="315"/>
      <c r="G36" s="300"/>
      <c r="H36" s="301"/>
      <c r="I36" s="301"/>
      <c r="J36" s="302"/>
    </row>
    <row r="37" spans="1:10" ht="15.75" customHeight="1" x14ac:dyDescent="0.45">
      <c r="A37" s="316"/>
      <c r="B37" s="315"/>
      <c r="C37" s="315"/>
      <c r="D37" s="315"/>
      <c r="E37" s="315"/>
      <c r="F37" s="315"/>
      <c r="G37" s="303"/>
      <c r="H37" s="304"/>
      <c r="I37" s="304"/>
      <c r="J37" s="305"/>
    </row>
    <row r="38" spans="1:10" ht="45" customHeight="1" x14ac:dyDescent="0.45">
      <c r="A38" s="316" t="s">
        <v>642</v>
      </c>
      <c r="B38" s="315" t="s">
        <v>643</v>
      </c>
      <c r="C38" s="315"/>
      <c r="D38" s="315"/>
      <c r="E38" s="315"/>
      <c r="F38" s="315"/>
      <c r="G38" s="300"/>
      <c r="H38" s="301"/>
      <c r="I38" s="301"/>
      <c r="J38" s="302"/>
    </row>
    <row r="39" spans="1:10" ht="15.75" customHeight="1" x14ac:dyDescent="0.45">
      <c r="A39" s="316"/>
      <c r="B39" s="315"/>
      <c r="C39" s="315"/>
      <c r="D39" s="315"/>
      <c r="E39" s="315"/>
      <c r="F39" s="315"/>
      <c r="G39" s="303"/>
      <c r="H39" s="304"/>
      <c r="I39" s="304"/>
      <c r="J39" s="305"/>
    </row>
    <row r="40" spans="1:10" ht="15.75" customHeight="1" x14ac:dyDescent="0.45">
      <c r="A40" s="316" t="s">
        <v>644</v>
      </c>
      <c r="B40" s="317"/>
      <c r="C40" s="317"/>
      <c r="D40" s="317"/>
      <c r="E40" s="317"/>
      <c r="F40" s="317"/>
      <c r="G40" s="300"/>
      <c r="H40" s="301"/>
      <c r="I40" s="301"/>
      <c r="J40" s="302"/>
    </row>
    <row r="41" spans="1:10" ht="15.75" customHeight="1" x14ac:dyDescent="0.45">
      <c r="A41" s="316"/>
      <c r="B41" s="317"/>
      <c r="C41" s="317"/>
      <c r="D41" s="317"/>
      <c r="E41" s="317"/>
      <c r="F41" s="317"/>
      <c r="G41" s="303"/>
      <c r="H41" s="304"/>
      <c r="I41" s="304"/>
      <c r="J41" s="305"/>
    </row>
    <row r="42" spans="1:10" x14ac:dyDescent="0.45">
      <c r="A42" s="11"/>
    </row>
  </sheetData>
  <mergeCells count="61">
    <mergeCell ref="A13:C13"/>
    <mergeCell ref="A14:C14"/>
    <mergeCell ref="D8:J8"/>
    <mergeCell ref="D9:J9"/>
    <mergeCell ref="A8:C8"/>
    <mergeCell ref="A9:C9"/>
    <mergeCell ref="A10:C10"/>
    <mergeCell ref="A11:C11"/>
    <mergeCell ref="A12:C12"/>
    <mergeCell ref="D10:J10"/>
    <mergeCell ref="D11:J11"/>
    <mergeCell ref="D12:J12"/>
    <mergeCell ref="D13:J13"/>
    <mergeCell ref="D14:J14"/>
    <mergeCell ref="A1:J2"/>
    <mergeCell ref="A3:I4"/>
    <mergeCell ref="A5:J5"/>
    <mergeCell ref="A6:J6"/>
    <mergeCell ref="A7:J7"/>
    <mergeCell ref="A15:J15"/>
    <mergeCell ref="B16:F16"/>
    <mergeCell ref="G16:J16"/>
    <mergeCell ref="A17:A18"/>
    <mergeCell ref="A19:A20"/>
    <mergeCell ref="G17:J18"/>
    <mergeCell ref="G19:J20"/>
    <mergeCell ref="A21:A22"/>
    <mergeCell ref="A23:A24"/>
    <mergeCell ref="A25:A26"/>
    <mergeCell ref="A30:A31"/>
    <mergeCell ref="B25:F26"/>
    <mergeCell ref="B28:F28"/>
    <mergeCell ref="B29:F29"/>
    <mergeCell ref="B30:F31"/>
    <mergeCell ref="A36:A37"/>
    <mergeCell ref="A38:A39"/>
    <mergeCell ref="A40:A41"/>
    <mergeCell ref="B34:F34"/>
    <mergeCell ref="B35:F35"/>
    <mergeCell ref="B38:F39"/>
    <mergeCell ref="B36:F37"/>
    <mergeCell ref="B40:F41"/>
    <mergeCell ref="G25:J26"/>
    <mergeCell ref="G30:J31"/>
    <mergeCell ref="G21:J22"/>
    <mergeCell ref="G23:J24"/>
    <mergeCell ref="B17:F18"/>
    <mergeCell ref="B19:F20"/>
    <mergeCell ref="B21:F22"/>
    <mergeCell ref="B23:F24"/>
    <mergeCell ref="G40:J41"/>
    <mergeCell ref="B27:F27"/>
    <mergeCell ref="B32:F32"/>
    <mergeCell ref="G33:J33"/>
    <mergeCell ref="G34:J34"/>
    <mergeCell ref="G35:J35"/>
    <mergeCell ref="G36:J37"/>
    <mergeCell ref="G28:J28"/>
    <mergeCell ref="G29:J29"/>
    <mergeCell ref="G38:J39"/>
    <mergeCell ref="B33:F33"/>
  </mergeCells>
  <pageMargins left="0.7" right="0.7" top="0.75" bottom="0.75" header="0.3" footer="0.3"/>
  <pageSetup scale="29" orientation="portrait" horizontalDpi="4294967292" verticalDpi="4294967292" r:id="rId1"/>
  <headerFooter>
    <oddHeader>&amp;C
&amp;G</oddHeader>
  </headerFooter>
  <drawing r:id="rId2"/>
  <legacyDrawing r:id="rId3"/>
  <legacyDrawingHF r:id="rId4"/>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A142-AD61-48AC-8D7C-7EDB2E1E71FF}">
  <dimension ref="A1:H11"/>
  <sheetViews>
    <sheetView workbookViewId="0">
      <selection activeCell="C5" sqref="C5"/>
    </sheetView>
  </sheetViews>
  <sheetFormatPr baseColWidth="10" defaultColWidth="11.46484375" defaultRowHeight="14.25" x14ac:dyDescent="0.45"/>
  <cols>
    <col min="7" max="7" width="21.06640625" customWidth="1"/>
  </cols>
  <sheetData>
    <row r="1" spans="1:8" x14ac:dyDescent="0.45">
      <c r="A1">
        <v>488</v>
      </c>
    </row>
    <row r="3" spans="1:8" x14ac:dyDescent="0.45">
      <c r="A3">
        <f>A1/3</f>
        <v>162.66666666666666</v>
      </c>
    </row>
    <row r="4" spans="1:8" x14ac:dyDescent="0.45">
      <c r="A4">
        <f>A3/30</f>
        <v>5.4222222222222216</v>
      </c>
    </row>
    <row r="5" spans="1:8" x14ac:dyDescent="0.45">
      <c r="A5">
        <v>8</v>
      </c>
      <c r="B5">
        <v>40</v>
      </c>
      <c r="C5">
        <v>160</v>
      </c>
      <c r="D5">
        <f>C5*3</f>
        <v>480</v>
      </c>
      <c r="F5">
        <f>D5*7</f>
        <v>3360</v>
      </c>
      <c r="G5">
        <v>3370</v>
      </c>
      <c r="H5">
        <f>F5-G5</f>
        <v>-10</v>
      </c>
    </row>
    <row r="6" spans="1:8" x14ac:dyDescent="0.45">
      <c r="A6" t="s">
        <v>645</v>
      </c>
      <c r="B6" t="s">
        <v>646</v>
      </c>
      <c r="C6" t="s">
        <v>647</v>
      </c>
      <c r="D6" t="s">
        <v>648</v>
      </c>
    </row>
    <row r="7" spans="1:8" x14ac:dyDescent="0.45">
      <c r="G7" t="s">
        <v>649</v>
      </c>
      <c r="H7" t="s">
        <v>650</v>
      </c>
    </row>
    <row r="8" spans="1:8" x14ac:dyDescent="0.45">
      <c r="G8" s="97">
        <v>46036</v>
      </c>
    </row>
    <row r="11" spans="1:8" x14ac:dyDescent="0.45">
      <c r="D11">
        <f>D5*2</f>
        <v>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PLANEACION</vt:lpstr>
      <vt:lpstr>INSTRUCTIVO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Emma Ramirez Serafinoff</dc:creator>
  <cp:keywords/>
  <dc:description/>
  <cp:lastModifiedBy>Miguel Angel Tejedor Mendoza</cp:lastModifiedBy>
  <cp:revision/>
  <dcterms:created xsi:type="dcterms:W3CDTF">2014-09-16T15:41:58Z</dcterms:created>
  <dcterms:modified xsi:type="dcterms:W3CDTF">2026-06-09T19:52:47Z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2026-03-04T15:14:45Z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d25c4eed-19f5-47c6-8a2e-71cf921102a8</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